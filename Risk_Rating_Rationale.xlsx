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ings" sheetId="1" state="visible" r:id="rId3"/>
  </sheets>
  <definedNames>
    <definedName function="false" hidden="true" localSheetId="0" name="_xlnm._FilterDatabase" vbProcedure="false">Ratings!$A$1:$H$85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Risk = product of the scores of Likelihood and Impact (Low=1, Medium=2, High=3), mapped to the OWASP Risk Rating Methodology levels: 1 Note, 2 Low, 3-4 Medium, 6 High, 9 Critical.</t>
        </r>
      </text>
    </comment>
  </commentList>
</comments>
</file>

<file path=xl/sharedStrings.xml><?xml version="1.0" encoding="utf-8"?>
<sst xmlns="http://schemas.openxmlformats.org/spreadsheetml/2006/main" count="588" uniqueCount="116">
  <si>
    <t xml:space="preserve">ID</t>
  </si>
  <si>
    <t xml:space="preserve">Attack</t>
  </si>
  <si>
    <t xml:space="preserve">Mode</t>
  </si>
  <si>
    <t xml:space="preserve">Likelihood</t>
  </si>
  <si>
    <t xml:space="preserve">Impact</t>
  </si>
  <si>
    <t xml:space="preserve">Risk</t>
  </si>
  <si>
    <t xml:space="preserve">Likelihood rationale</t>
  </si>
  <si>
    <t xml:space="preserve">Impact rationale</t>
  </si>
  <si>
    <t xml:space="preserve">A1</t>
  </si>
  <si>
    <t xml:space="preserve">Availability data poisoning</t>
  </si>
  <si>
    <t xml:space="preserve">S</t>
  </si>
  <si>
    <t xml:space="preserve">Low</t>
  </si>
  <si>
    <t xml:space="preserve">Medium</t>
  </si>
  <si>
    <t xml:space="preserve">Requires access to the protected, stored training data.</t>
  </si>
  <si>
    <t xml:space="preserve">Degrades detection across the board; the loss is noticeable in performance monitoring and is temporary once poisoned data leave the training data.</t>
  </si>
  <si>
    <t xml:space="preserve">R</t>
  </si>
  <si>
    <t xml:space="preserve">High</t>
  </si>
  <si>
    <t xml:space="preserve">Runtime data enter each retraining window, so partial testing data control is sufficient; no knowledge of the model is needed to degrade it.</t>
  </si>
  <si>
    <t xml:space="preserve">F</t>
  </si>
  <si>
    <t xml:space="preserve">Adaptation data pass through operator review, so poisoning must be sustained and inconspicuous over time.</t>
  </si>
  <si>
    <t xml:space="preserve">FL</t>
  </si>
  <si>
    <t xml:space="preserve">Runtime data at any single site enter local training, so partial testing data control at one site is sufficient.</t>
  </si>
  <si>
    <t xml:space="preserve">A2</t>
  </si>
  <si>
    <t xml:space="preserve">Availability model poisoning</t>
  </si>
  <si>
    <t xml:space="preserve">Requires model control (supply chain or insider).</t>
  </si>
  <si>
    <t xml:space="preserve">Weakens or destabilizes the model; the effect is noticeable and can be reverted by retraining.</t>
  </si>
  <si>
    <t xml:space="preserve">A single compromised site can submit manipulated updates in every round; model control is obtainable through one participant.</t>
  </si>
  <si>
    <t xml:space="preserve">A3</t>
  </si>
  <si>
    <t xml:space="preserve">Targeted data poisoning</t>
  </si>
  <si>
    <t xml:space="preserve">Requires access to the protected training data.</t>
  </si>
  <si>
    <t xml:space="preserve">Makes a specific attack pattern appear normal, enabling undetected manipulation of the process; the effect persists across updates.</t>
  </si>
  <si>
    <t xml:space="preserve">Runtime data enter retraining, but the attacker must inject the target pattern over a sustained period without triggering alerts.</t>
  </si>
  <si>
    <t xml:space="preserve">As in R; operator review adds an obstacle but does not prevent sustained injection of unflagged data.</t>
  </si>
  <si>
    <t xml:space="preserve">Local runtime data enter local training; sustained testing data control at one site is required.</t>
  </si>
  <si>
    <t xml:space="preserve">A4</t>
  </si>
  <si>
    <t xml:space="preserve">Targeted model poisoning</t>
  </si>
  <si>
    <t xml:space="preserve">Requires model control.</t>
  </si>
  <si>
    <t xml:space="preserve">Makes a specific attack pattern appear normal, enabling undetected manipulation of the process.</t>
  </si>
  <si>
    <t xml:space="preserve">A compromised site can craft targeted updates; model control is obtainable through one participant.</t>
  </si>
  <si>
    <t xml:space="preserve">A5</t>
  </si>
  <si>
    <t xml:space="preserve">Backdoor data poisoning</t>
  </si>
  <si>
    <t xml:space="preserve">A trigger suppresses detection whenever the attacker chooses, enabling undetected manipulation of the process.</t>
  </si>
  <si>
    <t xml:space="preserve">The trigger can be implanted through runtime data, but this requires sustained control and the trigger may be overwritten by later updates.</t>
  </si>
  <si>
    <t xml:space="preserve">As in R.</t>
  </si>
  <si>
    <t xml:space="preserve">As in R, through the local data of one site.</t>
  </si>
  <si>
    <t xml:space="preserve">A6</t>
  </si>
  <si>
    <t xml:space="preserve">Backdoor model poisoning</t>
  </si>
  <si>
    <t xml:space="preserve">A compromised site can embed a backdoor in its updates; it must persist across aggregation rounds.</t>
  </si>
  <si>
    <t xml:space="preserve">A7</t>
  </si>
  <si>
    <t xml:space="preserve">Optimization-based evasion</t>
  </si>
  <si>
    <t xml:space="preserve">Requires white-box knowledge; model internals and anomaly scores are not accessible to the attacker.</t>
  </si>
  <si>
    <t xml:space="preserve">A successful evasion hides an attack on the process.</t>
  </si>
  <si>
    <t xml:space="preserve">As in S.</t>
  </si>
  <si>
    <t xml:space="preserve">Every participating site receives the global model, so a compromised site obtains white-box access.</t>
  </si>
  <si>
    <t xml:space="preserve">A8</t>
  </si>
  <si>
    <t xml:space="preserve">Universal evasion</t>
  </si>
  <si>
    <t xml:space="preserve">Requires white-box knowledge.</t>
  </si>
  <si>
    <t xml:space="preserve">White-box access is obtained through a compromised site that receives the global model.</t>
  </si>
  <si>
    <t xml:space="preserve">A9</t>
  </si>
  <si>
    <t xml:space="preserve">Physically realizable evasion</t>
  </si>
  <si>
    <t xml:space="preserve">Requires sustained control of field devices and knowledge of the physical constraints of the process, but no model internals.</t>
  </si>
  <si>
    <t xml:space="preserve">A10</t>
  </si>
  <si>
    <t xml:space="preserve">Score-based evasion</t>
  </si>
  <si>
    <t xml:space="preserve">Requires observation of anomaly scores, which are visible only to operators under the threat model.</t>
  </si>
  <si>
    <t xml:space="preserve">A11</t>
  </si>
  <si>
    <t xml:space="preserve">Decision-based evasion</t>
  </si>
  <si>
    <t xml:space="preserve">Requires only indirect query access, i.e., observing whether actions trigger alarms or operator responses, over repeated attempts.</t>
  </si>
  <si>
    <t xml:space="preserve">A12</t>
  </si>
  <si>
    <t xml:space="preserve">Data reconstruction</t>
  </si>
  <si>
    <t xml:space="preserve">Requires query access to outputs, which are not exposed.</t>
  </si>
  <si>
    <t xml:space="preserve">Leaks partial information about operational data.</t>
  </si>
  <si>
    <t xml:space="preserve">Exchanged updates can be used to reconstruct local training data of other sites.</t>
  </si>
  <si>
    <t xml:space="preserve">A13</t>
  </si>
  <si>
    <t xml:space="preserve">Membership inference</t>
  </si>
  <si>
    <t xml:space="preserve">Knowing whether an operational record was used for training reveals little that is sensitive.</t>
  </si>
  <si>
    <t xml:space="preserve">Exchanged updates and the distributed model can be compared across rounds.</t>
  </si>
  <si>
    <t xml:space="preserve">A14</t>
  </si>
  <si>
    <t xml:space="preserve">Property inference</t>
  </si>
  <si>
    <t xml:space="preserve">Can reveal the operating profile of a plant.</t>
  </si>
  <si>
    <t xml:space="preserve">The global model and updates reveal properties of the operating profiles of other sites.</t>
  </si>
  <si>
    <t xml:space="preserve">A15</t>
  </si>
  <si>
    <t xml:space="preserve">Model extraction</t>
  </si>
  <si>
    <t xml:space="preserve">Requires extensive query access to outputs, which are not exposed.</t>
  </si>
  <si>
    <t xml:space="preserve">Provides knowledge that enables other attacks; the extraction itself does not affect detection.</t>
  </si>
  <si>
    <t xml:space="preserve">Every participating site receives the global model, so extraction is not needed.</t>
  </si>
  <si>
    <t xml:space="preserve">A16</t>
  </si>
  <si>
    <t xml:space="preserve">Gradual poisoning</t>
  </si>
  <si>
    <t xml:space="preserve">n/a</t>
  </si>
  <si>
    <t xml:space="preserve">Not applicable in this mode.</t>
  </si>
  <si>
    <t xml:space="preserve">Requires sustained testing data control and knowledge of the adaptation policy.</t>
  </si>
  <si>
    <t xml:space="preserve">Persistently shifts what the detector regards as normal, so that the target attack remains undetected across updates.</t>
  </si>
  <si>
    <t xml:space="preserve">A17</t>
  </si>
  <si>
    <t xml:space="preserve">Drift masking</t>
  </si>
  <si>
    <t xml:space="preserve">Retraining is scheduled rather than drift-triggered; the attack depends on legitimate operational changes that the attacker does not control.</t>
  </si>
  <si>
    <t xml:space="preserve">Adaptation to attack data hides the attack and makes it part of normal behavior.</t>
  </si>
  <si>
    <t xml:space="preserve">Operators decide whether changes are legitimate drift; exploiting this requires sustained control and knowledge of the adaptation policy.</t>
  </si>
  <si>
    <t xml:space="preserve">A18</t>
  </si>
  <si>
    <t xml:space="preserve">Threshold manipulation</t>
  </si>
  <si>
    <t xml:space="preserve">The threshold adapts to recent scores, so runtime inputs that shift the score distribution suffice; no model knowledge is needed.</t>
  </si>
  <si>
    <t xml:space="preserve">Can hide an attack by raising the threshold or flood operators with alarms by lowering it.</t>
  </si>
  <si>
    <t xml:space="preserve">Operator review of alerts and threshold changes requires the manipulation to be slower and more careful.</t>
  </si>
  <si>
    <t xml:space="preserve">As in R; thresholds adapt locally at each site.</t>
  </si>
  <si>
    <t xml:space="preserve">A19</t>
  </si>
  <si>
    <t xml:space="preserve">Feedback poisoning</t>
  </si>
  <si>
    <t xml:space="preserve">Direct feedback control requires an insider (Low), but the indirect variant only requires generating false alarms through sustained testing data control.</t>
  </si>
  <si>
    <t xml:space="preserve">Attack behavior labeled as benign is learned as normal.</t>
  </si>
  <si>
    <t xml:space="preserve">A20</t>
  </si>
  <si>
    <t xml:space="preserve">Adaptation trigger manipulation</t>
  </si>
  <si>
    <t xml:space="preserve">Updates follow a fixed schedule that the attacker cannot trigger or suppress.</t>
  </si>
  <si>
    <t xml:space="preserve">Causes temporary degradation, resource consumption, or an outdated model.</t>
  </si>
  <si>
    <t xml:space="preserve">False alarms induced through sustained testing data control initiate feedback-driven updates.</t>
  </si>
  <si>
    <t xml:space="preserve">Aggregation rounds follow a fixed schedule.</t>
  </si>
  <si>
    <t xml:space="preserve">A21</t>
  </si>
  <si>
    <t xml:space="preserve">Update timing exploitation</t>
  </si>
  <si>
    <t xml:space="preserve">Requires knowledge of the adaptation schedule and testing data control.</t>
  </si>
  <si>
    <t xml:space="preserve">Exploits a limited window of reduced detection around updates.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</si>
</sst>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EBC5"/>
          <bgColor rgb="FF000000"/>
        </patternFill>
      </fill>
    </dxf>
    <dxf>
      <fill>
        <patternFill patternType="solid">
          <fgColor rgb="FFEBEBEB"/>
          <bgColor rgb="FF000000"/>
        </patternFill>
      </fill>
    </dxf>
    <dxf>
      <fill>
        <patternFill patternType="solid">
          <fgColor rgb="FFF08C8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E5B4"/>
          <bgColor rgb="FF000000"/>
        </patternFill>
      </fill>
    </dxf>
    <dxf>
      <fill>
        <patternFill>
          <bgColor rgb="FFEBEBEB"/>
        </patternFill>
      </fill>
    </dxf>
    <dxf>
      <fill>
        <patternFill>
          <bgColor rgb="FFCCEBC5"/>
        </patternFill>
      </fill>
    </dxf>
    <dxf>
      <fill>
        <patternFill>
          <bgColor rgb="FFFFE5B4"/>
        </patternFill>
      </fill>
    </dxf>
    <dxf>
      <fill>
        <patternFill>
          <bgColor rgb="FFFFCCCC"/>
        </patternFill>
      </fill>
    </dxf>
    <dxf>
      <fill>
        <patternFill>
          <bgColor rgb="FFF08C8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EBEB"/>
      <rgbColor rgb="FFCCFFFF"/>
      <rgbColor rgb="FF660066"/>
      <rgbColor rgb="FFF08C8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EBC5"/>
      <rgbColor rgb="FFFFE5B4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G3" activeCellId="0" sqref="G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9.29"/>
    <col collapsed="false" customWidth="true" hidden="false" outlineLevel="0" max="7" min="7" style="0" width="62"/>
    <col collapsed="false" customWidth="true" hidden="false" outlineLevel="0" max="8" min="8" style="0" width="55"/>
    <col collapsed="false" customWidth="true" hidden="true" outlineLevel="0" max="9" min="9" style="0" width="1"/>
  </cols>
  <sheetData>
    <row r="1" customFormat="false" ht="3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38.25" hidden="false" customHeight="true" outlineLevel="0" collapsed="false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4" t="str">
        <f aca="false">IF(D2="n/a","n/a",CHOOSE(MATCH(D2,{"Low","Medium","High"},0)*MATCH(E2,{"Low","Medium","High"},0),"Note","Low","Medium","Medium","","High","","","Critical"))</f>
        <v>Low</v>
      </c>
      <c r="G2" s="3" t="s">
        <v>13</v>
      </c>
      <c r="H2" s="3" t="s">
        <v>14</v>
      </c>
    </row>
    <row r="3" customFormat="false" ht="38.25" hidden="false" customHeight="true" outlineLevel="0" collapsed="false">
      <c r="A3" s="5" t="s">
        <v>8</v>
      </c>
      <c r="B3" s="6" t="s">
        <v>9</v>
      </c>
      <c r="C3" s="5" t="s">
        <v>15</v>
      </c>
      <c r="D3" s="5" t="s">
        <v>16</v>
      </c>
      <c r="E3" s="5" t="s">
        <v>12</v>
      </c>
      <c r="F3" s="7" t="str">
        <f aca="false">IF(D3="n/a","n/a",CHOOSE(MATCH(D3,{"Low","Medium","High"},0)*MATCH(E3,{"Low","Medium","High"},0),"Note","Low","Medium","Medium","","High","","","Critical"))</f>
        <v>High</v>
      </c>
      <c r="G3" s="6" t="s">
        <v>17</v>
      </c>
      <c r="H3" s="6" t="s">
        <v>14</v>
      </c>
    </row>
    <row r="4" customFormat="false" ht="38.25" hidden="false" customHeight="true" outlineLevel="0" collapsed="false">
      <c r="A4" s="5" t="s">
        <v>8</v>
      </c>
      <c r="B4" s="6" t="s">
        <v>9</v>
      </c>
      <c r="C4" s="5" t="s">
        <v>18</v>
      </c>
      <c r="D4" s="5" t="s">
        <v>12</v>
      </c>
      <c r="E4" s="5" t="s">
        <v>12</v>
      </c>
      <c r="F4" s="7" t="str">
        <f aca="false">IF(D4="n/a","n/a",CHOOSE(MATCH(D4,{"Low","Medium","High"},0)*MATCH(E4,{"Low","Medium","High"},0),"Note","Low","Medium","Medium","","High","","","Critical"))</f>
        <v>Medium</v>
      </c>
      <c r="G4" s="6" t="s">
        <v>19</v>
      </c>
      <c r="H4" s="6" t="s">
        <v>14</v>
      </c>
    </row>
    <row r="5" customFormat="false" ht="38.25" hidden="false" customHeight="true" outlineLevel="0" collapsed="false">
      <c r="A5" s="5" t="s">
        <v>8</v>
      </c>
      <c r="B5" s="6" t="s">
        <v>9</v>
      </c>
      <c r="C5" s="5" t="s">
        <v>20</v>
      </c>
      <c r="D5" s="5" t="s">
        <v>16</v>
      </c>
      <c r="E5" s="5" t="s">
        <v>12</v>
      </c>
      <c r="F5" s="7" t="str">
        <f aca="false">IF(D5="n/a","n/a",CHOOSE(MATCH(D5,{"Low","Medium","High"},0)*MATCH(E5,{"Low","Medium","High"},0),"Note","Low","Medium","Medium","","High","","","Critical"))</f>
        <v>High</v>
      </c>
      <c r="G5" s="6" t="s">
        <v>21</v>
      </c>
      <c r="H5" s="6" t="s">
        <v>14</v>
      </c>
    </row>
    <row r="6" customFormat="false" ht="25.5" hidden="false" customHeight="true" outlineLevel="0" collapsed="false">
      <c r="A6" s="2" t="s">
        <v>22</v>
      </c>
      <c r="B6" s="3" t="s">
        <v>23</v>
      </c>
      <c r="C6" s="2" t="s">
        <v>10</v>
      </c>
      <c r="D6" s="2" t="s">
        <v>11</v>
      </c>
      <c r="E6" s="2" t="s">
        <v>12</v>
      </c>
      <c r="F6" s="4" t="str">
        <f aca="false">IF(D6="n/a","n/a",CHOOSE(MATCH(D6,{"Low","Medium","High"},0)*MATCH(E6,{"Low","Medium","High"},0),"Note","Low","Medium","Medium","","High","","","Critical"))</f>
        <v>Low</v>
      </c>
      <c r="G6" s="3" t="s">
        <v>24</v>
      </c>
      <c r="H6" s="3" t="s">
        <v>25</v>
      </c>
    </row>
    <row r="7" customFormat="false" ht="25.5" hidden="false" customHeight="true" outlineLevel="0" collapsed="false">
      <c r="A7" s="5" t="s">
        <v>22</v>
      </c>
      <c r="B7" s="6" t="s">
        <v>23</v>
      </c>
      <c r="C7" s="5" t="s">
        <v>15</v>
      </c>
      <c r="D7" s="5" t="s">
        <v>11</v>
      </c>
      <c r="E7" s="5" t="s">
        <v>12</v>
      </c>
      <c r="F7" s="7" t="str">
        <f aca="false">IF(D7="n/a","n/a",CHOOSE(MATCH(D7,{"Low","Medium","High"},0)*MATCH(E7,{"Low","Medium","High"},0),"Note","Low","Medium","Medium","","High","","","Critical"))</f>
        <v>Low</v>
      </c>
      <c r="G7" s="6" t="s">
        <v>24</v>
      </c>
      <c r="H7" s="6" t="s">
        <v>25</v>
      </c>
    </row>
    <row r="8" customFormat="false" ht="25.5" hidden="false" customHeight="true" outlineLevel="0" collapsed="false">
      <c r="A8" s="5" t="s">
        <v>22</v>
      </c>
      <c r="B8" s="6" t="s">
        <v>23</v>
      </c>
      <c r="C8" s="5" t="s">
        <v>18</v>
      </c>
      <c r="D8" s="5" t="s">
        <v>11</v>
      </c>
      <c r="E8" s="5" t="s">
        <v>12</v>
      </c>
      <c r="F8" s="7" t="str">
        <f aca="false">IF(D8="n/a","n/a",CHOOSE(MATCH(D8,{"Low","Medium","High"},0)*MATCH(E8,{"Low","Medium","High"},0),"Note","Low","Medium","Medium","","High","","","Critical"))</f>
        <v>Low</v>
      </c>
      <c r="G8" s="6" t="s">
        <v>24</v>
      </c>
      <c r="H8" s="6" t="s">
        <v>25</v>
      </c>
    </row>
    <row r="9" customFormat="false" ht="25.5" hidden="false" customHeight="true" outlineLevel="0" collapsed="false">
      <c r="A9" s="5" t="s">
        <v>22</v>
      </c>
      <c r="B9" s="6" t="s">
        <v>23</v>
      </c>
      <c r="C9" s="5" t="s">
        <v>20</v>
      </c>
      <c r="D9" s="5" t="s">
        <v>12</v>
      </c>
      <c r="E9" s="5" t="s">
        <v>12</v>
      </c>
      <c r="F9" s="7" t="str">
        <f aca="false">IF(D9="n/a","n/a",CHOOSE(MATCH(D9,{"Low","Medium","High"},0)*MATCH(E9,{"Low","Medium","High"},0),"Note","Low","Medium","Medium","","High","","","Critical"))</f>
        <v>Medium</v>
      </c>
      <c r="G9" s="6" t="s">
        <v>26</v>
      </c>
      <c r="H9" s="6" t="s">
        <v>25</v>
      </c>
    </row>
    <row r="10" customFormat="false" ht="38.25" hidden="false" customHeight="true" outlineLevel="0" collapsed="false">
      <c r="A10" s="2" t="s">
        <v>27</v>
      </c>
      <c r="B10" s="3" t="s">
        <v>28</v>
      </c>
      <c r="C10" s="2" t="s">
        <v>10</v>
      </c>
      <c r="D10" s="2" t="s">
        <v>11</v>
      </c>
      <c r="E10" s="2" t="s">
        <v>16</v>
      </c>
      <c r="F10" s="4" t="str">
        <f aca="false">IF(D10="n/a","n/a",CHOOSE(MATCH(D10,{"Low","Medium","High"},0)*MATCH(E10,{"Low","Medium","High"},0),"Note","Low","Medium","Medium","","High","","","Critical"))</f>
        <v>Medium</v>
      </c>
      <c r="G10" s="3" t="s">
        <v>29</v>
      </c>
      <c r="H10" s="3" t="s">
        <v>30</v>
      </c>
    </row>
    <row r="11" customFormat="false" ht="38.25" hidden="false" customHeight="true" outlineLevel="0" collapsed="false">
      <c r="A11" s="5" t="s">
        <v>27</v>
      </c>
      <c r="B11" s="6" t="s">
        <v>28</v>
      </c>
      <c r="C11" s="5" t="s">
        <v>15</v>
      </c>
      <c r="D11" s="5" t="s">
        <v>12</v>
      </c>
      <c r="E11" s="5" t="s">
        <v>16</v>
      </c>
      <c r="F11" s="7" t="str">
        <f aca="false">IF(D11="n/a","n/a",CHOOSE(MATCH(D11,{"Low","Medium","High"},0)*MATCH(E11,{"Low","Medium","High"},0),"Note","Low","Medium","Medium","","High","","","Critical"))</f>
        <v>High</v>
      </c>
      <c r="G11" s="6" t="s">
        <v>31</v>
      </c>
      <c r="H11" s="6" t="s">
        <v>30</v>
      </c>
    </row>
    <row r="12" customFormat="false" ht="38.25" hidden="false" customHeight="true" outlineLevel="0" collapsed="false">
      <c r="A12" s="5" t="s">
        <v>27</v>
      </c>
      <c r="B12" s="6" t="s">
        <v>28</v>
      </c>
      <c r="C12" s="5" t="s">
        <v>18</v>
      </c>
      <c r="D12" s="5" t="s">
        <v>12</v>
      </c>
      <c r="E12" s="5" t="s">
        <v>16</v>
      </c>
      <c r="F12" s="7" t="str">
        <f aca="false">IF(D12="n/a","n/a",CHOOSE(MATCH(D12,{"Low","Medium","High"},0)*MATCH(E12,{"Low","Medium","High"},0),"Note","Low","Medium","Medium","","High","","","Critical"))</f>
        <v>High</v>
      </c>
      <c r="G12" s="6" t="s">
        <v>32</v>
      </c>
      <c r="H12" s="6" t="s">
        <v>30</v>
      </c>
    </row>
    <row r="13" customFormat="false" ht="38.25" hidden="false" customHeight="true" outlineLevel="0" collapsed="false">
      <c r="A13" s="5" t="s">
        <v>27</v>
      </c>
      <c r="B13" s="6" t="s">
        <v>28</v>
      </c>
      <c r="C13" s="5" t="s">
        <v>20</v>
      </c>
      <c r="D13" s="5" t="s">
        <v>12</v>
      </c>
      <c r="E13" s="5" t="s">
        <v>16</v>
      </c>
      <c r="F13" s="7" t="str">
        <f aca="false">IF(D13="n/a","n/a",CHOOSE(MATCH(D13,{"Low","Medium","High"},0)*MATCH(E13,{"Low","Medium","High"},0),"Note","Low","Medium","Medium","","High","","","Critical"))</f>
        <v>High</v>
      </c>
      <c r="G13" s="6" t="s">
        <v>33</v>
      </c>
      <c r="H13" s="6" t="s">
        <v>30</v>
      </c>
    </row>
    <row r="14" customFormat="false" ht="25.5" hidden="false" customHeight="true" outlineLevel="0" collapsed="false">
      <c r="A14" s="2" t="s">
        <v>34</v>
      </c>
      <c r="B14" s="3" t="s">
        <v>35</v>
      </c>
      <c r="C14" s="2" t="s">
        <v>10</v>
      </c>
      <c r="D14" s="2" t="s">
        <v>11</v>
      </c>
      <c r="E14" s="2" t="s">
        <v>16</v>
      </c>
      <c r="F14" s="4" t="str">
        <f aca="false">IF(D14="n/a","n/a",CHOOSE(MATCH(D14,{"Low","Medium","High"},0)*MATCH(E14,{"Low","Medium","High"},0),"Note","Low","Medium","Medium","","High","","","Critical"))</f>
        <v>Medium</v>
      </c>
      <c r="G14" s="3" t="s">
        <v>36</v>
      </c>
      <c r="H14" s="3" t="s">
        <v>37</v>
      </c>
    </row>
    <row r="15" customFormat="false" ht="25.5" hidden="false" customHeight="true" outlineLevel="0" collapsed="false">
      <c r="A15" s="5" t="s">
        <v>34</v>
      </c>
      <c r="B15" s="6" t="s">
        <v>35</v>
      </c>
      <c r="C15" s="5" t="s">
        <v>15</v>
      </c>
      <c r="D15" s="5" t="s">
        <v>11</v>
      </c>
      <c r="E15" s="5" t="s">
        <v>16</v>
      </c>
      <c r="F15" s="7" t="str">
        <f aca="false">IF(D15="n/a","n/a",CHOOSE(MATCH(D15,{"Low","Medium","High"},0)*MATCH(E15,{"Low","Medium","High"},0),"Note","Low","Medium","Medium","","High","","","Critical"))</f>
        <v>Medium</v>
      </c>
      <c r="G15" s="6" t="s">
        <v>36</v>
      </c>
      <c r="H15" s="6" t="s">
        <v>37</v>
      </c>
    </row>
    <row r="16" customFormat="false" ht="25.5" hidden="false" customHeight="true" outlineLevel="0" collapsed="false">
      <c r="A16" s="5" t="s">
        <v>34</v>
      </c>
      <c r="B16" s="6" t="s">
        <v>35</v>
      </c>
      <c r="C16" s="5" t="s">
        <v>18</v>
      </c>
      <c r="D16" s="5" t="s">
        <v>11</v>
      </c>
      <c r="E16" s="5" t="s">
        <v>16</v>
      </c>
      <c r="F16" s="7" t="str">
        <f aca="false">IF(D16="n/a","n/a",CHOOSE(MATCH(D16,{"Low","Medium","High"},0)*MATCH(E16,{"Low","Medium","High"},0),"Note","Low","Medium","Medium","","High","","","Critical"))</f>
        <v>Medium</v>
      </c>
      <c r="G16" s="6" t="s">
        <v>36</v>
      </c>
      <c r="H16" s="6" t="s">
        <v>37</v>
      </c>
    </row>
    <row r="17" customFormat="false" ht="25.5" hidden="false" customHeight="true" outlineLevel="0" collapsed="false">
      <c r="A17" s="5" t="s">
        <v>34</v>
      </c>
      <c r="B17" s="6" t="s">
        <v>35</v>
      </c>
      <c r="C17" s="5" t="s">
        <v>20</v>
      </c>
      <c r="D17" s="5" t="s">
        <v>12</v>
      </c>
      <c r="E17" s="5" t="s">
        <v>16</v>
      </c>
      <c r="F17" s="7" t="str">
        <f aca="false">IF(D17="n/a","n/a",CHOOSE(MATCH(D17,{"Low","Medium","High"},0)*MATCH(E17,{"Low","Medium","High"},0),"Note","Low","Medium","Medium","","High","","","Critical"))</f>
        <v>High</v>
      </c>
      <c r="G17" s="6" t="s">
        <v>38</v>
      </c>
      <c r="H17" s="6" t="s">
        <v>37</v>
      </c>
    </row>
    <row r="18" customFormat="false" ht="25.5" hidden="false" customHeight="true" outlineLevel="0" collapsed="false">
      <c r="A18" s="2" t="s">
        <v>39</v>
      </c>
      <c r="B18" s="3" t="s">
        <v>40</v>
      </c>
      <c r="C18" s="2" t="s">
        <v>10</v>
      </c>
      <c r="D18" s="2" t="s">
        <v>11</v>
      </c>
      <c r="E18" s="2" t="s">
        <v>16</v>
      </c>
      <c r="F18" s="4" t="str">
        <f aca="false">IF(D18="n/a","n/a",CHOOSE(MATCH(D18,{"Low","Medium","High"},0)*MATCH(E18,{"Low","Medium","High"},0),"Note","Low","Medium","Medium","","High","","","Critical"))</f>
        <v>Medium</v>
      </c>
      <c r="G18" s="3" t="s">
        <v>29</v>
      </c>
      <c r="H18" s="3" t="s">
        <v>41</v>
      </c>
    </row>
    <row r="19" customFormat="false" ht="25.5" hidden="false" customHeight="true" outlineLevel="0" collapsed="false">
      <c r="A19" s="5" t="s">
        <v>39</v>
      </c>
      <c r="B19" s="6" t="s">
        <v>40</v>
      </c>
      <c r="C19" s="5" t="s">
        <v>15</v>
      </c>
      <c r="D19" s="5" t="s">
        <v>12</v>
      </c>
      <c r="E19" s="5" t="s">
        <v>16</v>
      </c>
      <c r="F19" s="7" t="str">
        <f aca="false">IF(D19="n/a","n/a",CHOOSE(MATCH(D19,{"Low","Medium","High"},0)*MATCH(E19,{"Low","Medium","High"},0),"Note","Low","Medium","Medium","","High","","","Critical"))</f>
        <v>High</v>
      </c>
      <c r="G19" s="6" t="s">
        <v>42</v>
      </c>
      <c r="H19" s="6" t="s">
        <v>41</v>
      </c>
    </row>
    <row r="20" customFormat="false" ht="25.5" hidden="false" customHeight="true" outlineLevel="0" collapsed="false">
      <c r="A20" s="5" t="s">
        <v>39</v>
      </c>
      <c r="B20" s="6" t="s">
        <v>40</v>
      </c>
      <c r="C20" s="5" t="s">
        <v>18</v>
      </c>
      <c r="D20" s="5" t="s">
        <v>12</v>
      </c>
      <c r="E20" s="5" t="s">
        <v>16</v>
      </c>
      <c r="F20" s="7" t="str">
        <f aca="false">IF(D20="n/a","n/a",CHOOSE(MATCH(D20,{"Low","Medium","High"},0)*MATCH(E20,{"Low","Medium","High"},0),"Note","Low","Medium","Medium","","High","","","Critical"))</f>
        <v>High</v>
      </c>
      <c r="G20" s="6" t="s">
        <v>43</v>
      </c>
      <c r="H20" s="6" t="s">
        <v>41</v>
      </c>
    </row>
    <row r="21" customFormat="false" ht="25.5" hidden="false" customHeight="true" outlineLevel="0" collapsed="false">
      <c r="A21" s="5" t="s">
        <v>39</v>
      </c>
      <c r="B21" s="6" t="s">
        <v>40</v>
      </c>
      <c r="C21" s="5" t="s">
        <v>20</v>
      </c>
      <c r="D21" s="5" t="s">
        <v>12</v>
      </c>
      <c r="E21" s="5" t="s">
        <v>16</v>
      </c>
      <c r="F21" s="7" t="str">
        <f aca="false">IF(D21="n/a","n/a",CHOOSE(MATCH(D21,{"Low","Medium","High"},0)*MATCH(E21,{"Low","Medium","High"},0),"Note","Low","Medium","Medium","","High","","","Critical"))</f>
        <v>High</v>
      </c>
      <c r="G21" s="6" t="s">
        <v>44</v>
      </c>
      <c r="H21" s="6" t="s">
        <v>41</v>
      </c>
    </row>
    <row r="22" customFormat="false" ht="25.5" hidden="false" customHeight="true" outlineLevel="0" collapsed="false">
      <c r="A22" s="2" t="s">
        <v>45</v>
      </c>
      <c r="B22" s="3" t="s">
        <v>46</v>
      </c>
      <c r="C22" s="2" t="s">
        <v>10</v>
      </c>
      <c r="D22" s="2" t="s">
        <v>11</v>
      </c>
      <c r="E22" s="2" t="s">
        <v>16</v>
      </c>
      <c r="F22" s="4" t="str">
        <f aca="false">IF(D22="n/a","n/a",CHOOSE(MATCH(D22,{"Low","Medium","High"},0)*MATCH(E22,{"Low","Medium","High"},0),"Note","Low","Medium","Medium","","High","","","Critical"))</f>
        <v>Medium</v>
      </c>
      <c r="G22" s="3" t="s">
        <v>36</v>
      </c>
      <c r="H22" s="3" t="s">
        <v>41</v>
      </c>
    </row>
    <row r="23" customFormat="false" ht="25.5" hidden="false" customHeight="true" outlineLevel="0" collapsed="false">
      <c r="A23" s="5" t="s">
        <v>45</v>
      </c>
      <c r="B23" s="6" t="s">
        <v>46</v>
      </c>
      <c r="C23" s="5" t="s">
        <v>15</v>
      </c>
      <c r="D23" s="5" t="s">
        <v>11</v>
      </c>
      <c r="E23" s="5" t="s">
        <v>16</v>
      </c>
      <c r="F23" s="7" t="str">
        <f aca="false">IF(D23="n/a","n/a",CHOOSE(MATCH(D23,{"Low","Medium","High"},0)*MATCH(E23,{"Low","Medium","High"},0),"Note","Low","Medium","Medium","","High","","","Critical"))</f>
        <v>Medium</v>
      </c>
      <c r="G23" s="6" t="s">
        <v>36</v>
      </c>
      <c r="H23" s="6" t="s">
        <v>41</v>
      </c>
    </row>
    <row r="24" customFormat="false" ht="25.5" hidden="false" customHeight="true" outlineLevel="0" collapsed="false">
      <c r="A24" s="5" t="s">
        <v>45</v>
      </c>
      <c r="B24" s="6" t="s">
        <v>46</v>
      </c>
      <c r="C24" s="5" t="s">
        <v>18</v>
      </c>
      <c r="D24" s="5" t="s">
        <v>11</v>
      </c>
      <c r="E24" s="5" t="s">
        <v>16</v>
      </c>
      <c r="F24" s="7" t="str">
        <f aca="false">IF(D24="n/a","n/a",CHOOSE(MATCH(D24,{"Low","Medium","High"},0)*MATCH(E24,{"Low","Medium","High"},0),"Note","Low","Medium","Medium","","High","","","Critical"))</f>
        <v>Medium</v>
      </c>
      <c r="G24" s="6" t="s">
        <v>36</v>
      </c>
      <c r="H24" s="6" t="s">
        <v>41</v>
      </c>
    </row>
    <row r="25" customFormat="false" ht="25.5" hidden="false" customHeight="true" outlineLevel="0" collapsed="false">
      <c r="A25" s="5" t="s">
        <v>45</v>
      </c>
      <c r="B25" s="6" t="s">
        <v>46</v>
      </c>
      <c r="C25" s="5" t="s">
        <v>20</v>
      </c>
      <c r="D25" s="5" t="s">
        <v>12</v>
      </c>
      <c r="E25" s="5" t="s">
        <v>16</v>
      </c>
      <c r="F25" s="7" t="str">
        <f aca="false">IF(D25="n/a","n/a",CHOOSE(MATCH(D25,{"Low","Medium","High"},0)*MATCH(E25,{"Low","Medium","High"},0),"Note","Low","Medium","Medium","","High","","","Critical"))</f>
        <v>High</v>
      </c>
      <c r="G25" s="6" t="s">
        <v>47</v>
      </c>
      <c r="H25" s="6" t="s">
        <v>41</v>
      </c>
    </row>
    <row r="26" customFormat="false" ht="25.5" hidden="false" customHeight="true" outlineLevel="0" collapsed="false">
      <c r="A26" s="2" t="s">
        <v>48</v>
      </c>
      <c r="B26" s="3" t="s">
        <v>49</v>
      </c>
      <c r="C26" s="2" t="s">
        <v>10</v>
      </c>
      <c r="D26" s="2" t="s">
        <v>11</v>
      </c>
      <c r="E26" s="2" t="s">
        <v>16</v>
      </c>
      <c r="F26" s="4" t="str">
        <f aca="false">IF(D26="n/a","n/a",CHOOSE(MATCH(D26,{"Low","Medium","High"},0)*MATCH(E26,{"Low","Medium","High"},0),"Note","Low","Medium","Medium","","High","","","Critical"))</f>
        <v>Medium</v>
      </c>
      <c r="G26" s="3" t="s">
        <v>50</v>
      </c>
      <c r="H26" s="3" t="s">
        <v>51</v>
      </c>
    </row>
    <row r="27" customFormat="false" ht="15" hidden="false" customHeight="false" outlineLevel="0" collapsed="false">
      <c r="A27" s="5" t="s">
        <v>48</v>
      </c>
      <c r="B27" s="6" t="s">
        <v>49</v>
      </c>
      <c r="C27" s="5" t="s">
        <v>15</v>
      </c>
      <c r="D27" s="5" t="s">
        <v>11</v>
      </c>
      <c r="E27" s="5" t="s">
        <v>16</v>
      </c>
      <c r="F27" s="7" t="str">
        <f aca="false">IF(D27="n/a","n/a",CHOOSE(MATCH(D27,{"Low","Medium","High"},0)*MATCH(E27,{"Low","Medium","High"},0),"Note","Low","Medium","Medium","","High","","","Critical"))</f>
        <v>Medium</v>
      </c>
      <c r="G27" s="6" t="s">
        <v>52</v>
      </c>
      <c r="H27" s="6" t="s">
        <v>51</v>
      </c>
    </row>
    <row r="28" customFormat="false" ht="15" hidden="false" customHeight="false" outlineLevel="0" collapsed="false">
      <c r="A28" s="5" t="s">
        <v>48</v>
      </c>
      <c r="B28" s="6" t="s">
        <v>49</v>
      </c>
      <c r="C28" s="5" t="s">
        <v>18</v>
      </c>
      <c r="D28" s="5" t="s">
        <v>11</v>
      </c>
      <c r="E28" s="5" t="s">
        <v>16</v>
      </c>
      <c r="F28" s="7" t="str">
        <f aca="false">IF(D28="n/a","n/a",CHOOSE(MATCH(D28,{"Low","Medium","High"},0)*MATCH(E28,{"Low","Medium","High"},0),"Note","Low","Medium","Medium","","High","","","Critical"))</f>
        <v>Medium</v>
      </c>
      <c r="G28" s="6" t="s">
        <v>52</v>
      </c>
      <c r="H28" s="6" t="s">
        <v>51</v>
      </c>
    </row>
    <row r="29" customFormat="false" ht="25.5" hidden="false" customHeight="true" outlineLevel="0" collapsed="false">
      <c r="A29" s="5" t="s">
        <v>48</v>
      </c>
      <c r="B29" s="6" t="s">
        <v>49</v>
      </c>
      <c r="C29" s="5" t="s">
        <v>20</v>
      </c>
      <c r="D29" s="5" t="s">
        <v>12</v>
      </c>
      <c r="E29" s="5" t="s">
        <v>16</v>
      </c>
      <c r="F29" s="7" t="str">
        <f aca="false">IF(D29="n/a","n/a",CHOOSE(MATCH(D29,{"Low","Medium","High"},0)*MATCH(E29,{"Low","Medium","High"},0),"Note","Low","Medium","Medium","","High","","","Critical"))</f>
        <v>High</v>
      </c>
      <c r="G29" s="6" t="s">
        <v>53</v>
      </c>
      <c r="H29" s="6" t="s">
        <v>51</v>
      </c>
    </row>
    <row r="30" customFormat="false" ht="15" hidden="false" customHeight="false" outlineLevel="0" collapsed="false">
      <c r="A30" s="2" t="s">
        <v>54</v>
      </c>
      <c r="B30" s="3" t="s">
        <v>55</v>
      </c>
      <c r="C30" s="2" t="s">
        <v>10</v>
      </c>
      <c r="D30" s="2" t="s">
        <v>11</v>
      </c>
      <c r="E30" s="2" t="s">
        <v>16</v>
      </c>
      <c r="F30" s="4" t="str">
        <f aca="false">IF(D30="n/a","n/a",CHOOSE(MATCH(D30,{"Low","Medium","High"},0)*MATCH(E30,{"Low","Medium","High"},0),"Note","Low","Medium","Medium","","High","","","Critical"))</f>
        <v>Medium</v>
      </c>
      <c r="G30" s="3" t="s">
        <v>56</v>
      </c>
      <c r="H30" s="3" t="s">
        <v>51</v>
      </c>
    </row>
    <row r="31" customFormat="false" ht="15" hidden="false" customHeight="false" outlineLevel="0" collapsed="false">
      <c r="A31" s="5" t="s">
        <v>54</v>
      </c>
      <c r="B31" s="6" t="s">
        <v>55</v>
      </c>
      <c r="C31" s="5" t="s">
        <v>15</v>
      </c>
      <c r="D31" s="5" t="s">
        <v>11</v>
      </c>
      <c r="E31" s="5" t="s">
        <v>16</v>
      </c>
      <c r="F31" s="7" t="str">
        <f aca="false">IF(D31="n/a","n/a",CHOOSE(MATCH(D31,{"Low","Medium","High"},0)*MATCH(E31,{"Low","Medium","High"},0),"Note","Low","Medium","Medium","","High","","","Critical"))</f>
        <v>Medium</v>
      </c>
      <c r="G31" s="6" t="s">
        <v>56</v>
      </c>
      <c r="H31" s="6" t="s">
        <v>51</v>
      </c>
    </row>
    <row r="32" customFormat="false" ht="15" hidden="false" customHeight="false" outlineLevel="0" collapsed="false">
      <c r="A32" s="5" t="s">
        <v>54</v>
      </c>
      <c r="B32" s="6" t="s">
        <v>55</v>
      </c>
      <c r="C32" s="5" t="s">
        <v>18</v>
      </c>
      <c r="D32" s="5" t="s">
        <v>11</v>
      </c>
      <c r="E32" s="5" t="s">
        <v>16</v>
      </c>
      <c r="F32" s="7" t="str">
        <f aca="false">IF(D32="n/a","n/a",CHOOSE(MATCH(D32,{"Low","Medium","High"},0)*MATCH(E32,{"Low","Medium","High"},0),"Note","Low","Medium","Medium","","High","","","Critical"))</f>
        <v>Medium</v>
      </c>
      <c r="G32" s="6" t="s">
        <v>56</v>
      </c>
      <c r="H32" s="6" t="s">
        <v>51</v>
      </c>
    </row>
    <row r="33" customFormat="false" ht="25.5" hidden="false" customHeight="true" outlineLevel="0" collapsed="false">
      <c r="A33" s="5" t="s">
        <v>54</v>
      </c>
      <c r="B33" s="6" t="s">
        <v>55</v>
      </c>
      <c r="C33" s="5" t="s">
        <v>20</v>
      </c>
      <c r="D33" s="5" t="s">
        <v>12</v>
      </c>
      <c r="E33" s="5" t="s">
        <v>16</v>
      </c>
      <c r="F33" s="7" t="str">
        <f aca="false">IF(D33="n/a","n/a",CHOOSE(MATCH(D33,{"Low","Medium","High"},0)*MATCH(E33,{"Low","Medium","High"},0),"Note","Low","Medium","Medium","","High","","","Critical"))</f>
        <v>High</v>
      </c>
      <c r="G33" s="6" t="s">
        <v>57</v>
      </c>
      <c r="H33" s="6" t="s">
        <v>51</v>
      </c>
    </row>
    <row r="34" customFormat="false" ht="25.5" hidden="false" customHeight="true" outlineLevel="0" collapsed="false">
      <c r="A34" s="2" t="s">
        <v>58</v>
      </c>
      <c r="B34" s="3" t="s">
        <v>59</v>
      </c>
      <c r="C34" s="2" t="s">
        <v>10</v>
      </c>
      <c r="D34" s="2" t="s">
        <v>12</v>
      </c>
      <c r="E34" s="2" t="s">
        <v>16</v>
      </c>
      <c r="F34" s="4" t="str">
        <f aca="false">IF(D34="n/a","n/a",CHOOSE(MATCH(D34,{"Low","Medium","High"},0)*MATCH(E34,{"Low","Medium","High"},0),"Note","Low","Medium","Medium","","High","","","Critical"))</f>
        <v>High</v>
      </c>
      <c r="G34" s="3" t="s">
        <v>60</v>
      </c>
      <c r="H34" s="3" t="s">
        <v>51</v>
      </c>
    </row>
    <row r="35" customFormat="false" ht="25.5" hidden="false" customHeight="true" outlineLevel="0" collapsed="false">
      <c r="A35" s="5" t="s">
        <v>58</v>
      </c>
      <c r="B35" s="6" t="s">
        <v>59</v>
      </c>
      <c r="C35" s="5" t="s">
        <v>15</v>
      </c>
      <c r="D35" s="5" t="s">
        <v>12</v>
      </c>
      <c r="E35" s="5" t="s">
        <v>16</v>
      </c>
      <c r="F35" s="7" t="str">
        <f aca="false">IF(D35="n/a","n/a",CHOOSE(MATCH(D35,{"Low","Medium","High"},0)*MATCH(E35,{"Low","Medium","High"},0),"Note","Low","Medium","Medium","","High","","","Critical"))</f>
        <v>High</v>
      </c>
      <c r="G35" s="6" t="s">
        <v>60</v>
      </c>
      <c r="H35" s="6" t="s">
        <v>51</v>
      </c>
    </row>
    <row r="36" customFormat="false" ht="25.5" hidden="false" customHeight="true" outlineLevel="0" collapsed="false">
      <c r="A36" s="5" t="s">
        <v>58</v>
      </c>
      <c r="B36" s="6" t="s">
        <v>59</v>
      </c>
      <c r="C36" s="5" t="s">
        <v>18</v>
      </c>
      <c r="D36" s="5" t="s">
        <v>12</v>
      </c>
      <c r="E36" s="5" t="s">
        <v>16</v>
      </c>
      <c r="F36" s="7" t="str">
        <f aca="false">IF(D36="n/a","n/a",CHOOSE(MATCH(D36,{"Low","Medium","High"},0)*MATCH(E36,{"Low","Medium","High"},0),"Note","Low","Medium","Medium","","High","","","Critical"))</f>
        <v>High</v>
      </c>
      <c r="G36" s="6" t="s">
        <v>60</v>
      </c>
      <c r="H36" s="6" t="s">
        <v>51</v>
      </c>
    </row>
    <row r="37" customFormat="false" ht="25.5" hidden="false" customHeight="true" outlineLevel="0" collapsed="false">
      <c r="A37" s="5" t="s">
        <v>58</v>
      </c>
      <c r="B37" s="6" t="s">
        <v>59</v>
      </c>
      <c r="C37" s="5" t="s">
        <v>20</v>
      </c>
      <c r="D37" s="5" t="s">
        <v>12</v>
      </c>
      <c r="E37" s="5" t="s">
        <v>16</v>
      </c>
      <c r="F37" s="7" t="str">
        <f aca="false">IF(D37="n/a","n/a",CHOOSE(MATCH(D37,{"Low","Medium","High"},0)*MATCH(E37,{"Low","Medium","High"},0),"Note","Low","Medium","Medium","","High","","","Critical"))</f>
        <v>High</v>
      </c>
      <c r="G37" s="6" t="s">
        <v>60</v>
      </c>
      <c r="H37" s="6" t="s">
        <v>51</v>
      </c>
    </row>
    <row r="38" customFormat="false" ht="25.5" hidden="false" customHeight="true" outlineLevel="0" collapsed="false">
      <c r="A38" s="2" t="s">
        <v>61</v>
      </c>
      <c r="B38" s="3" t="s">
        <v>62</v>
      </c>
      <c r="C38" s="2" t="s">
        <v>10</v>
      </c>
      <c r="D38" s="2" t="s">
        <v>11</v>
      </c>
      <c r="E38" s="2" t="s">
        <v>16</v>
      </c>
      <c r="F38" s="4" t="str">
        <f aca="false">IF(D38="n/a","n/a",CHOOSE(MATCH(D38,{"Low","Medium","High"},0)*MATCH(E38,{"Low","Medium","High"},0),"Note","Low","Medium","Medium","","High","","","Critical"))</f>
        <v>Medium</v>
      </c>
      <c r="G38" s="3" t="s">
        <v>63</v>
      </c>
      <c r="H38" s="3" t="s">
        <v>51</v>
      </c>
    </row>
    <row r="39" customFormat="false" ht="25.5" hidden="false" customHeight="true" outlineLevel="0" collapsed="false">
      <c r="A39" s="5" t="s">
        <v>61</v>
      </c>
      <c r="B39" s="6" t="s">
        <v>62</v>
      </c>
      <c r="C39" s="5" t="s">
        <v>15</v>
      </c>
      <c r="D39" s="5" t="s">
        <v>11</v>
      </c>
      <c r="E39" s="5" t="s">
        <v>16</v>
      </c>
      <c r="F39" s="7" t="str">
        <f aca="false">IF(D39="n/a","n/a",CHOOSE(MATCH(D39,{"Low","Medium","High"},0)*MATCH(E39,{"Low","Medium","High"},0),"Note","Low","Medium","Medium","","High","","","Critical"))</f>
        <v>Medium</v>
      </c>
      <c r="G39" s="6" t="s">
        <v>63</v>
      </c>
      <c r="H39" s="6" t="s">
        <v>51</v>
      </c>
    </row>
    <row r="40" customFormat="false" ht="25.5" hidden="false" customHeight="true" outlineLevel="0" collapsed="false">
      <c r="A40" s="5" t="s">
        <v>61</v>
      </c>
      <c r="B40" s="6" t="s">
        <v>62</v>
      </c>
      <c r="C40" s="5" t="s">
        <v>18</v>
      </c>
      <c r="D40" s="5" t="s">
        <v>11</v>
      </c>
      <c r="E40" s="5" t="s">
        <v>16</v>
      </c>
      <c r="F40" s="7" t="str">
        <f aca="false">IF(D40="n/a","n/a",CHOOSE(MATCH(D40,{"Low","Medium","High"},0)*MATCH(E40,{"Low","Medium","High"},0),"Note","Low","Medium","Medium","","High","","","Critical"))</f>
        <v>Medium</v>
      </c>
      <c r="G40" s="6" t="s">
        <v>63</v>
      </c>
      <c r="H40" s="6" t="s">
        <v>51</v>
      </c>
    </row>
    <row r="41" customFormat="false" ht="25.5" hidden="false" customHeight="true" outlineLevel="0" collapsed="false">
      <c r="A41" s="5" t="s">
        <v>61</v>
      </c>
      <c r="B41" s="6" t="s">
        <v>62</v>
      </c>
      <c r="C41" s="5" t="s">
        <v>20</v>
      </c>
      <c r="D41" s="5" t="s">
        <v>11</v>
      </c>
      <c r="E41" s="5" t="s">
        <v>16</v>
      </c>
      <c r="F41" s="7" t="str">
        <f aca="false">IF(D41="n/a","n/a",CHOOSE(MATCH(D41,{"Low","Medium","High"},0)*MATCH(E41,{"Low","Medium","High"},0),"Note","Low","Medium","Medium","","High","","","Critical"))</f>
        <v>Medium</v>
      </c>
      <c r="G41" s="6" t="s">
        <v>63</v>
      </c>
      <c r="H41" s="6" t="s">
        <v>51</v>
      </c>
    </row>
    <row r="42" customFormat="false" ht="25.5" hidden="false" customHeight="true" outlineLevel="0" collapsed="false">
      <c r="A42" s="2" t="s">
        <v>64</v>
      </c>
      <c r="B42" s="3" t="s">
        <v>65</v>
      </c>
      <c r="C42" s="2" t="s">
        <v>10</v>
      </c>
      <c r="D42" s="2" t="s">
        <v>12</v>
      </c>
      <c r="E42" s="2" t="s">
        <v>16</v>
      </c>
      <c r="F42" s="4" t="str">
        <f aca="false">IF(D42="n/a","n/a",CHOOSE(MATCH(D42,{"Low","Medium","High"},0)*MATCH(E42,{"Low","Medium","High"},0),"Note","Low","Medium","Medium","","High","","","Critical"))</f>
        <v>High</v>
      </c>
      <c r="G42" s="3" t="s">
        <v>66</v>
      </c>
      <c r="H42" s="3" t="s">
        <v>51</v>
      </c>
    </row>
    <row r="43" customFormat="false" ht="25.5" hidden="false" customHeight="true" outlineLevel="0" collapsed="false">
      <c r="A43" s="5" t="s">
        <v>64</v>
      </c>
      <c r="B43" s="6" t="s">
        <v>65</v>
      </c>
      <c r="C43" s="5" t="s">
        <v>15</v>
      </c>
      <c r="D43" s="5" t="s">
        <v>12</v>
      </c>
      <c r="E43" s="5" t="s">
        <v>16</v>
      </c>
      <c r="F43" s="7" t="str">
        <f aca="false">IF(D43="n/a","n/a",CHOOSE(MATCH(D43,{"Low","Medium","High"},0)*MATCH(E43,{"Low","Medium","High"},0),"Note","Low","Medium","Medium","","High","","","Critical"))</f>
        <v>High</v>
      </c>
      <c r="G43" s="6" t="s">
        <v>66</v>
      </c>
      <c r="H43" s="6" t="s">
        <v>51</v>
      </c>
    </row>
    <row r="44" customFormat="false" ht="25.5" hidden="false" customHeight="true" outlineLevel="0" collapsed="false">
      <c r="A44" s="5" t="s">
        <v>64</v>
      </c>
      <c r="B44" s="6" t="s">
        <v>65</v>
      </c>
      <c r="C44" s="5" t="s">
        <v>18</v>
      </c>
      <c r="D44" s="5" t="s">
        <v>12</v>
      </c>
      <c r="E44" s="5" t="s">
        <v>16</v>
      </c>
      <c r="F44" s="7" t="str">
        <f aca="false">IF(D44="n/a","n/a",CHOOSE(MATCH(D44,{"Low","Medium","High"},0)*MATCH(E44,{"Low","Medium","High"},0),"Note","Low","Medium","Medium","","High","","","Critical"))</f>
        <v>High</v>
      </c>
      <c r="G44" s="6" t="s">
        <v>66</v>
      </c>
      <c r="H44" s="6" t="s">
        <v>51</v>
      </c>
    </row>
    <row r="45" customFormat="false" ht="25.5" hidden="false" customHeight="true" outlineLevel="0" collapsed="false">
      <c r="A45" s="5" t="s">
        <v>64</v>
      </c>
      <c r="B45" s="6" t="s">
        <v>65</v>
      </c>
      <c r="C45" s="5" t="s">
        <v>20</v>
      </c>
      <c r="D45" s="5" t="s">
        <v>12</v>
      </c>
      <c r="E45" s="5" t="s">
        <v>16</v>
      </c>
      <c r="F45" s="7" t="str">
        <f aca="false">IF(D45="n/a","n/a",CHOOSE(MATCH(D45,{"Low","Medium","High"},0)*MATCH(E45,{"Low","Medium","High"},0),"Note","Low","Medium","Medium","","High","","","Critical"))</f>
        <v>High</v>
      </c>
      <c r="G45" s="6" t="s">
        <v>66</v>
      </c>
      <c r="H45" s="6" t="s">
        <v>51</v>
      </c>
    </row>
    <row r="46" customFormat="false" ht="15" hidden="false" customHeight="false" outlineLevel="0" collapsed="false">
      <c r="A46" s="2" t="s">
        <v>67</v>
      </c>
      <c r="B46" s="3" t="s">
        <v>68</v>
      </c>
      <c r="C46" s="2" t="s">
        <v>10</v>
      </c>
      <c r="D46" s="2" t="s">
        <v>11</v>
      </c>
      <c r="E46" s="2" t="s">
        <v>12</v>
      </c>
      <c r="F46" s="4" t="str">
        <f aca="false">IF(D46="n/a","n/a",CHOOSE(MATCH(D46,{"Low","Medium","High"},0)*MATCH(E46,{"Low","Medium","High"},0),"Note","Low","Medium","Medium","","High","","","Critical"))</f>
        <v>Low</v>
      </c>
      <c r="G46" s="3" t="s">
        <v>69</v>
      </c>
      <c r="H46" s="3" t="s">
        <v>70</v>
      </c>
    </row>
    <row r="47" customFormat="false" ht="15" hidden="false" customHeight="false" outlineLevel="0" collapsed="false">
      <c r="A47" s="5" t="s">
        <v>67</v>
      </c>
      <c r="B47" s="6" t="s">
        <v>68</v>
      </c>
      <c r="C47" s="5" t="s">
        <v>15</v>
      </c>
      <c r="D47" s="5" t="s">
        <v>11</v>
      </c>
      <c r="E47" s="5" t="s">
        <v>12</v>
      </c>
      <c r="F47" s="7" t="str">
        <f aca="false">IF(D47="n/a","n/a",CHOOSE(MATCH(D47,{"Low","Medium","High"},0)*MATCH(E47,{"Low","Medium","High"},0),"Note","Low","Medium","Medium","","High","","","Critical"))</f>
        <v>Low</v>
      </c>
      <c r="G47" s="6" t="s">
        <v>52</v>
      </c>
      <c r="H47" s="6" t="s">
        <v>70</v>
      </c>
    </row>
    <row r="48" customFormat="false" ht="15" hidden="false" customHeight="false" outlineLevel="0" collapsed="false">
      <c r="A48" s="5" t="s">
        <v>67</v>
      </c>
      <c r="B48" s="6" t="s">
        <v>68</v>
      </c>
      <c r="C48" s="5" t="s">
        <v>18</v>
      </c>
      <c r="D48" s="5" t="s">
        <v>11</v>
      </c>
      <c r="E48" s="5" t="s">
        <v>12</v>
      </c>
      <c r="F48" s="7" t="str">
        <f aca="false">IF(D48="n/a","n/a",CHOOSE(MATCH(D48,{"Low","Medium","High"},0)*MATCH(E48,{"Low","Medium","High"},0),"Note","Low","Medium","Medium","","High","","","Critical"))</f>
        <v>Low</v>
      </c>
      <c r="G48" s="6" t="s">
        <v>52</v>
      </c>
      <c r="H48" s="6" t="s">
        <v>70</v>
      </c>
    </row>
    <row r="49" customFormat="false" ht="25.5" hidden="false" customHeight="true" outlineLevel="0" collapsed="false">
      <c r="A49" s="5" t="s">
        <v>67</v>
      </c>
      <c r="B49" s="6" t="s">
        <v>68</v>
      </c>
      <c r="C49" s="5" t="s">
        <v>20</v>
      </c>
      <c r="D49" s="5" t="s">
        <v>12</v>
      </c>
      <c r="E49" s="5" t="s">
        <v>12</v>
      </c>
      <c r="F49" s="7" t="str">
        <f aca="false">IF(D49="n/a","n/a",CHOOSE(MATCH(D49,{"Low","Medium","High"},0)*MATCH(E49,{"Low","Medium","High"},0),"Note","Low","Medium","Medium","","High","","","Critical"))</f>
        <v>Medium</v>
      </c>
      <c r="G49" s="6" t="s">
        <v>71</v>
      </c>
      <c r="H49" s="6" t="s">
        <v>70</v>
      </c>
    </row>
    <row r="50" customFormat="false" ht="25.5" hidden="false" customHeight="true" outlineLevel="0" collapsed="false">
      <c r="A50" s="2" t="s">
        <v>72</v>
      </c>
      <c r="B50" s="3" t="s">
        <v>73</v>
      </c>
      <c r="C50" s="2" t="s">
        <v>10</v>
      </c>
      <c r="D50" s="2" t="s">
        <v>11</v>
      </c>
      <c r="E50" s="2" t="s">
        <v>11</v>
      </c>
      <c r="F50" s="4" t="str">
        <f aca="false">IF(D50="n/a","n/a",CHOOSE(MATCH(D50,{"Low","Medium","High"},0)*MATCH(E50,{"Low","Medium","High"},0),"Note","Low","Medium","Medium","","High","","","Critical"))</f>
        <v>Note</v>
      </c>
      <c r="G50" s="3" t="s">
        <v>69</v>
      </c>
      <c r="H50" s="3" t="s">
        <v>74</v>
      </c>
    </row>
    <row r="51" customFormat="false" ht="25.5" hidden="false" customHeight="true" outlineLevel="0" collapsed="false">
      <c r="A51" s="5" t="s">
        <v>72</v>
      </c>
      <c r="B51" s="6" t="s">
        <v>73</v>
      </c>
      <c r="C51" s="5" t="s">
        <v>15</v>
      </c>
      <c r="D51" s="5" t="s">
        <v>11</v>
      </c>
      <c r="E51" s="5" t="s">
        <v>11</v>
      </c>
      <c r="F51" s="7" t="str">
        <f aca="false">IF(D51="n/a","n/a",CHOOSE(MATCH(D51,{"Low","Medium","High"},0)*MATCH(E51,{"Low","Medium","High"},0),"Note","Low","Medium","Medium","","High","","","Critical"))</f>
        <v>Note</v>
      </c>
      <c r="G51" s="6" t="s">
        <v>52</v>
      </c>
      <c r="H51" s="6" t="s">
        <v>74</v>
      </c>
    </row>
    <row r="52" customFormat="false" ht="25.5" hidden="false" customHeight="true" outlineLevel="0" collapsed="false">
      <c r="A52" s="5" t="s">
        <v>72</v>
      </c>
      <c r="B52" s="6" t="s">
        <v>73</v>
      </c>
      <c r="C52" s="5" t="s">
        <v>18</v>
      </c>
      <c r="D52" s="5" t="s">
        <v>11</v>
      </c>
      <c r="E52" s="5" t="s">
        <v>11</v>
      </c>
      <c r="F52" s="7" t="str">
        <f aca="false">IF(D52="n/a","n/a",CHOOSE(MATCH(D52,{"Low","Medium","High"},0)*MATCH(E52,{"Low","Medium","High"},0),"Note","Low","Medium","Medium","","High","","","Critical"))</f>
        <v>Note</v>
      </c>
      <c r="G52" s="6" t="s">
        <v>52</v>
      </c>
      <c r="H52" s="6" t="s">
        <v>74</v>
      </c>
    </row>
    <row r="53" customFormat="false" ht="25.5" hidden="false" customHeight="true" outlineLevel="0" collapsed="false">
      <c r="A53" s="5" t="s">
        <v>72</v>
      </c>
      <c r="B53" s="6" t="s">
        <v>73</v>
      </c>
      <c r="C53" s="5" t="s">
        <v>20</v>
      </c>
      <c r="D53" s="5" t="s">
        <v>12</v>
      </c>
      <c r="E53" s="5" t="s">
        <v>11</v>
      </c>
      <c r="F53" s="7" t="str">
        <f aca="false">IF(D53="n/a","n/a",CHOOSE(MATCH(D53,{"Low","Medium","High"},0)*MATCH(E53,{"Low","Medium","High"},0),"Note","Low","Medium","Medium","","High","","","Critical"))</f>
        <v>Low</v>
      </c>
      <c r="G53" s="6" t="s">
        <v>75</v>
      </c>
      <c r="H53" s="6" t="s">
        <v>74</v>
      </c>
    </row>
    <row r="54" customFormat="false" ht="15" hidden="false" customHeight="false" outlineLevel="0" collapsed="false">
      <c r="A54" s="2" t="s">
        <v>76</v>
      </c>
      <c r="B54" s="3" t="s">
        <v>77</v>
      </c>
      <c r="C54" s="2" t="s">
        <v>10</v>
      </c>
      <c r="D54" s="2" t="s">
        <v>11</v>
      </c>
      <c r="E54" s="2" t="s">
        <v>12</v>
      </c>
      <c r="F54" s="4" t="str">
        <f aca="false">IF(D54="n/a","n/a",CHOOSE(MATCH(D54,{"Low","Medium","High"},0)*MATCH(E54,{"Low","Medium","High"},0),"Note","Low","Medium","Medium","","High","","","Critical"))</f>
        <v>Low</v>
      </c>
      <c r="G54" s="3" t="s">
        <v>69</v>
      </c>
      <c r="H54" s="3" t="s">
        <v>78</v>
      </c>
    </row>
    <row r="55" customFormat="false" ht="15" hidden="false" customHeight="false" outlineLevel="0" collapsed="false">
      <c r="A55" s="5" t="s">
        <v>76</v>
      </c>
      <c r="B55" s="6" t="s">
        <v>77</v>
      </c>
      <c r="C55" s="5" t="s">
        <v>15</v>
      </c>
      <c r="D55" s="5" t="s">
        <v>11</v>
      </c>
      <c r="E55" s="5" t="s">
        <v>12</v>
      </c>
      <c r="F55" s="7" t="str">
        <f aca="false">IF(D55="n/a","n/a",CHOOSE(MATCH(D55,{"Low","Medium","High"},0)*MATCH(E55,{"Low","Medium","High"},0),"Note","Low","Medium","Medium","","High","","","Critical"))</f>
        <v>Low</v>
      </c>
      <c r="G55" s="6" t="s">
        <v>52</v>
      </c>
      <c r="H55" s="6" t="s">
        <v>78</v>
      </c>
    </row>
    <row r="56" customFormat="false" ht="15" hidden="false" customHeight="false" outlineLevel="0" collapsed="false">
      <c r="A56" s="5" t="s">
        <v>76</v>
      </c>
      <c r="B56" s="6" t="s">
        <v>77</v>
      </c>
      <c r="C56" s="5" t="s">
        <v>18</v>
      </c>
      <c r="D56" s="5" t="s">
        <v>11</v>
      </c>
      <c r="E56" s="5" t="s">
        <v>12</v>
      </c>
      <c r="F56" s="7" t="str">
        <f aca="false">IF(D56="n/a","n/a",CHOOSE(MATCH(D56,{"Low","Medium","High"},0)*MATCH(E56,{"Low","Medium","High"},0),"Note","Low","Medium","Medium","","High","","","Critical"))</f>
        <v>Low</v>
      </c>
      <c r="G56" s="6" t="s">
        <v>52</v>
      </c>
      <c r="H56" s="6" t="s">
        <v>78</v>
      </c>
    </row>
    <row r="57" customFormat="false" ht="25.5" hidden="false" customHeight="true" outlineLevel="0" collapsed="false">
      <c r="A57" s="5" t="s">
        <v>76</v>
      </c>
      <c r="B57" s="6" t="s">
        <v>77</v>
      </c>
      <c r="C57" s="5" t="s">
        <v>20</v>
      </c>
      <c r="D57" s="5" t="s">
        <v>12</v>
      </c>
      <c r="E57" s="5" t="s">
        <v>12</v>
      </c>
      <c r="F57" s="7" t="str">
        <f aca="false">IF(D57="n/a","n/a",CHOOSE(MATCH(D57,{"Low","Medium","High"},0)*MATCH(E57,{"Low","Medium","High"},0),"Note","Low","Medium","Medium","","High","","","Critical"))</f>
        <v>Medium</v>
      </c>
      <c r="G57" s="6" t="s">
        <v>79</v>
      </c>
      <c r="H57" s="6" t="s">
        <v>78</v>
      </c>
    </row>
    <row r="58" customFormat="false" ht="25.5" hidden="false" customHeight="true" outlineLevel="0" collapsed="false">
      <c r="A58" s="2" t="s">
        <v>80</v>
      </c>
      <c r="B58" s="3" t="s">
        <v>81</v>
      </c>
      <c r="C58" s="2" t="s">
        <v>10</v>
      </c>
      <c r="D58" s="2" t="s">
        <v>11</v>
      </c>
      <c r="E58" s="2" t="s">
        <v>12</v>
      </c>
      <c r="F58" s="4" t="str">
        <f aca="false">IF(D58="n/a","n/a",CHOOSE(MATCH(D58,{"Low","Medium","High"},0)*MATCH(E58,{"Low","Medium","High"},0),"Note","Low","Medium","Medium","","High","","","Critical"))</f>
        <v>Low</v>
      </c>
      <c r="G58" s="3" t="s">
        <v>82</v>
      </c>
      <c r="H58" s="3" t="s">
        <v>83</v>
      </c>
    </row>
    <row r="59" customFormat="false" ht="25.5" hidden="false" customHeight="true" outlineLevel="0" collapsed="false">
      <c r="A59" s="5" t="s">
        <v>80</v>
      </c>
      <c r="B59" s="6" t="s">
        <v>81</v>
      </c>
      <c r="C59" s="5" t="s">
        <v>15</v>
      </c>
      <c r="D59" s="5" t="s">
        <v>11</v>
      </c>
      <c r="E59" s="5" t="s">
        <v>12</v>
      </c>
      <c r="F59" s="7" t="str">
        <f aca="false">IF(D59="n/a","n/a",CHOOSE(MATCH(D59,{"Low","Medium","High"},0)*MATCH(E59,{"Low","Medium","High"},0),"Note","Low","Medium","Medium","","High","","","Critical"))</f>
        <v>Low</v>
      </c>
      <c r="G59" s="6" t="s">
        <v>52</v>
      </c>
      <c r="H59" s="6" t="s">
        <v>83</v>
      </c>
    </row>
    <row r="60" customFormat="false" ht="25.5" hidden="false" customHeight="true" outlineLevel="0" collapsed="false">
      <c r="A60" s="5" t="s">
        <v>80</v>
      </c>
      <c r="B60" s="6" t="s">
        <v>81</v>
      </c>
      <c r="C60" s="5" t="s">
        <v>18</v>
      </c>
      <c r="D60" s="5" t="s">
        <v>11</v>
      </c>
      <c r="E60" s="5" t="s">
        <v>12</v>
      </c>
      <c r="F60" s="7" t="str">
        <f aca="false">IF(D60="n/a","n/a",CHOOSE(MATCH(D60,{"Low","Medium","High"},0)*MATCH(E60,{"Low","Medium","High"},0),"Note","Low","Medium","Medium","","High","","","Critical"))</f>
        <v>Low</v>
      </c>
      <c r="G60" s="6" t="s">
        <v>52</v>
      </c>
      <c r="H60" s="6" t="s">
        <v>83</v>
      </c>
    </row>
    <row r="61" customFormat="false" ht="25.5" hidden="false" customHeight="true" outlineLevel="0" collapsed="false">
      <c r="A61" s="5" t="s">
        <v>80</v>
      </c>
      <c r="B61" s="6" t="s">
        <v>81</v>
      </c>
      <c r="C61" s="5" t="s">
        <v>20</v>
      </c>
      <c r="D61" s="5" t="s">
        <v>16</v>
      </c>
      <c r="E61" s="5" t="s">
        <v>12</v>
      </c>
      <c r="F61" s="7" t="str">
        <f aca="false">IF(D61="n/a","n/a",CHOOSE(MATCH(D61,{"Low","Medium","High"},0)*MATCH(E61,{"Low","Medium","High"},0),"Note","Low","Medium","Medium","","High","","","Critical"))</f>
        <v>High</v>
      </c>
      <c r="G61" s="6" t="s">
        <v>84</v>
      </c>
      <c r="H61" s="6" t="s">
        <v>83</v>
      </c>
    </row>
    <row r="62" customFormat="false" ht="15" hidden="false" customHeight="false" outlineLevel="0" collapsed="false">
      <c r="A62" s="2" t="s">
        <v>85</v>
      </c>
      <c r="B62" s="3" t="s">
        <v>86</v>
      </c>
      <c r="C62" s="2" t="s">
        <v>10</v>
      </c>
      <c r="D62" s="2" t="s">
        <v>87</v>
      </c>
      <c r="E62" s="2" t="s">
        <v>87</v>
      </c>
      <c r="F62" s="4" t="str">
        <f aca="false">IF(D62="n/a","n/a",CHOOSE(MATCH(D62,{"Low","Medium","High"},0)*MATCH(E62,{"Low","Medium","High"},0),"Note","Low","Medium","Medium","","High","","","Critical"))</f>
        <v>n/a</v>
      </c>
      <c r="G62" s="3" t="s">
        <v>88</v>
      </c>
      <c r="H62" s="3"/>
    </row>
    <row r="63" customFormat="false" ht="25.5" hidden="false" customHeight="true" outlineLevel="0" collapsed="false">
      <c r="A63" s="5" t="s">
        <v>85</v>
      </c>
      <c r="B63" s="6" t="s">
        <v>86</v>
      </c>
      <c r="C63" s="5" t="s">
        <v>15</v>
      </c>
      <c r="D63" s="5" t="s">
        <v>12</v>
      </c>
      <c r="E63" s="5" t="s">
        <v>16</v>
      </c>
      <c r="F63" s="7" t="str">
        <f aca="false">IF(D63="n/a","n/a",CHOOSE(MATCH(D63,{"Low","Medium","High"},0)*MATCH(E63,{"Low","Medium","High"},0),"Note","Low","Medium","Medium","","High","","","Critical"))</f>
        <v>High</v>
      </c>
      <c r="G63" s="6" t="s">
        <v>89</v>
      </c>
      <c r="H63" s="6" t="s">
        <v>90</v>
      </c>
    </row>
    <row r="64" customFormat="false" ht="25.5" hidden="false" customHeight="true" outlineLevel="0" collapsed="false">
      <c r="A64" s="5" t="s">
        <v>85</v>
      </c>
      <c r="B64" s="6" t="s">
        <v>86</v>
      </c>
      <c r="C64" s="5" t="s">
        <v>18</v>
      </c>
      <c r="D64" s="5" t="s">
        <v>12</v>
      </c>
      <c r="E64" s="5" t="s">
        <v>16</v>
      </c>
      <c r="F64" s="7" t="str">
        <f aca="false">IF(D64="n/a","n/a",CHOOSE(MATCH(D64,{"Low","Medium","High"},0)*MATCH(E64,{"Low","Medium","High"},0),"Note","Low","Medium","Medium","","High","","","Critical"))</f>
        <v>High</v>
      </c>
      <c r="G64" s="6" t="s">
        <v>43</v>
      </c>
      <c r="H64" s="6" t="s">
        <v>90</v>
      </c>
    </row>
    <row r="65" customFormat="false" ht="25.5" hidden="false" customHeight="true" outlineLevel="0" collapsed="false">
      <c r="A65" s="5" t="s">
        <v>85</v>
      </c>
      <c r="B65" s="6" t="s">
        <v>86</v>
      </c>
      <c r="C65" s="5" t="s">
        <v>20</v>
      </c>
      <c r="D65" s="5" t="s">
        <v>12</v>
      </c>
      <c r="E65" s="5" t="s">
        <v>16</v>
      </c>
      <c r="F65" s="7" t="str">
        <f aca="false">IF(D65="n/a","n/a",CHOOSE(MATCH(D65,{"Low","Medium","High"},0)*MATCH(E65,{"Low","Medium","High"},0),"Note","Low","Medium","Medium","","High","","","Critical"))</f>
        <v>High</v>
      </c>
      <c r="G65" s="6" t="s">
        <v>44</v>
      </c>
      <c r="H65" s="6" t="s">
        <v>90</v>
      </c>
    </row>
    <row r="66" customFormat="false" ht="15" hidden="false" customHeight="false" outlineLevel="0" collapsed="false">
      <c r="A66" s="2" t="s">
        <v>91</v>
      </c>
      <c r="B66" s="3" t="s">
        <v>92</v>
      </c>
      <c r="C66" s="2" t="s">
        <v>10</v>
      </c>
      <c r="D66" s="2" t="s">
        <v>87</v>
      </c>
      <c r="E66" s="2" t="s">
        <v>87</v>
      </c>
      <c r="F66" s="4" t="str">
        <f aca="false">IF(D66="n/a","n/a",CHOOSE(MATCH(D66,{"Low","Medium","High"},0)*MATCH(E66,{"Low","Medium","High"},0),"Note","Low","Medium","Medium","","High","","","Critical"))</f>
        <v>n/a</v>
      </c>
      <c r="G66" s="3" t="s">
        <v>88</v>
      </c>
      <c r="H66" s="3"/>
    </row>
    <row r="67" customFormat="false" ht="25.5" hidden="false" customHeight="true" outlineLevel="0" collapsed="false">
      <c r="A67" s="5" t="s">
        <v>91</v>
      </c>
      <c r="B67" s="6" t="s">
        <v>92</v>
      </c>
      <c r="C67" s="5" t="s">
        <v>15</v>
      </c>
      <c r="D67" s="5" t="s">
        <v>11</v>
      </c>
      <c r="E67" s="5" t="s">
        <v>16</v>
      </c>
      <c r="F67" s="7" t="str">
        <f aca="false">IF(D67="n/a","n/a",CHOOSE(MATCH(D67,{"Low","Medium","High"},0)*MATCH(E67,{"Low","Medium","High"},0),"Note","Low","Medium","Medium","","High","","","Critical"))</f>
        <v>Medium</v>
      </c>
      <c r="G67" s="6" t="s">
        <v>93</v>
      </c>
      <c r="H67" s="6" t="s">
        <v>94</v>
      </c>
    </row>
    <row r="68" customFormat="false" ht="25.5" hidden="false" customHeight="true" outlineLevel="0" collapsed="false">
      <c r="A68" s="5" t="s">
        <v>91</v>
      </c>
      <c r="B68" s="6" t="s">
        <v>92</v>
      </c>
      <c r="C68" s="5" t="s">
        <v>18</v>
      </c>
      <c r="D68" s="5" t="s">
        <v>12</v>
      </c>
      <c r="E68" s="5" t="s">
        <v>16</v>
      </c>
      <c r="F68" s="7" t="str">
        <f aca="false">IF(D68="n/a","n/a",CHOOSE(MATCH(D68,{"Low","Medium","High"},0)*MATCH(E68,{"Low","Medium","High"},0),"Note","Low","Medium","Medium","","High","","","Critical"))</f>
        <v>High</v>
      </c>
      <c r="G68" s="6" t="s">
        <v>95</v>
      </c>
      <c r="H68" s="6" t="s">
        <v>94</v>
      </c>
    </row>
    <row r="69" customFormat="false" ht="25.5" hidden="false" customHeight="true" outlineLevel="0" collapsed="false">
      <c r="A69" s="5" t="s">
        <v>91</v>
      </c>
      <c r="B69" s="6" t="s">
        <v>92</v>
      </c>
      <c r="C69" s="5" t="s">
        <v>20</v>
      </c>
      <c r="D69" s="5" t="s">
        <v>11</v>
      </c>
      <c r="E69" s="5" t="s">
        <v>16</v>
      </c>
      <c r="F69" s="7" t="str">
        <f aca="false">IF(D69="n/a","n/a",CHOOSE(MATCH(D69,{"Low","Medium","High"},0)*MATCH(E69,{"Low","Medium","High"},0),"Note","Low","Medium","Medium","","High","","","Critical"))</f>
        <v>Medium</v>
      </c>
      <c r="G69" s="6" t="s">
        <v>43</v>
      </c>
      <c r="H69" s="6" t="s">
        <v>94</v>
      </c>
    </row>
    <row r="70" customFormat="false" ht="15" hidden="false" customHeight="false" outlineLevel="0" collapsed="false">
      <c r="A70" s="2" t="s">
        <v>96</v>
      </c>
      <c r="B70" s="3" t="s">
        <v>97</v>
      </c>
      <c r="C70" s="2" t="s">
        <v>10</v>
      </c>
      <c r="D70" s="2" t="s">
        <v>87</v>
      </c>
      <c r="E70" s="2" t="s">
        <v>87</v>
      </c>
      <c r="F70" s="4" t="str">
        <f aca="false">IF(D70="n/a","n/a",CHOOSE(MATCH(D70,{"Low","Medium","High"},0)*MATCH(E70,{"Low","Medium","High"},0),"Note","Low","Medium","Medium","","High","","","Critical"))</f>
        <v>n/a</v>
      </c>
      <c r="G70" s="3" t="s">
        <v>88</v>
      </c>
      <c r="H70" s="3"/>
    </row>
    <row r="71" customFormat="false" ht="25.5" hidden="false" customHeight="true" outlineLevel="0" collapsed="false">
      <c r="A71" s="5" t="s">
        <v>96</v>
      </c>
      <c r="B71" s="6" t="s">
        <v>97</v>
      </c>
      <c r="C71" s="5" t="s">
        <v>15</v>
      </c>
      <c r="D71" s="5" t="s">
        <v>16</v>
      </c>
      <c r="E71" s="5" t="s">
        <v>16</v>
      </c>
      <c r="F71" s="7" t="str">
        <f aca="false">IF(D71="n/a","n/a",CHOOSE(MATCH(D71,{"Low","Medium","High"},0)*MATCH(E71,{"Low","Medium","High"},0),"Note","Low","Medium","Medium","","High","","","Critical"))</f>
        <v>Critical</v>
      </c>
      <c r="G71" s="6" t="s">
        <v>98</v>
      </c>
      <c r="H71" s="6" t="s">
        <v>99</v>
      </c>
    </row>
    <row r="72" customFormat="false" ht="25.5" hidden="false" customHeight="true" outlineLevel="0" collapsed="false">
      <c r="A72" s="5" t="s">
        <v>96</v>
      </c>
      <c r="B72" s="6" t="s">
        <v>97</v>
      </c>
      <c r="C72" s="5" t="s">
        <v>18</v>
      </c>
      <c r="D72" s="5" t="s">
        <v>12</v>
      </c>
      <c r="E72" s="5" t="s">
        <v>16</v>
      </c>
      <c r="F72" s="7" t="str">
        <f aca="false">IF(D72="n/a","n/a",CHOOSE(MATCH(D72,{"Low","Medium","High"},0)*MATCH(E72,{"Low","Medium","High"},0),"Note","Low","Medium","Medium","","High","","","Critical"))</f>
        <v>High</v>
      </c>
      <c r="G72" s="6" t="s">
        <v>100</v>
      </c>
      <c r="H72" s="6" t="s">
        <v>99</v>
      </c>
    </row>
    <row r="73" customFormat="false" ht="25.5" hidden="false" customHeight="true" outlineLevel="0" collapsed="false">
      <c r="A73" s="5" t="s">
        <v>96</v>
      </c>
      <c r="B73" s="6" t="s">
        <v>97</v>
      </c>
      <c r="C73" s="5" t="s">
        <v>20</v>
      </c>
      <c r="D73" s="5" t="s">
        <v>16</v>
      </c>
      <c r="E73" s="5" t="s">
        <v>16</v>
      </c>
      <c r="F73" s="7" t="str">
        <f aca="false">IF(D73="n/a","n/a",CHOOSE(MATCH(D73,{"Low","Medium","High"},0)*MATCH(E73,{"Low","Medium","High"},0),"Note","Low","Medium","Medium","","High","","","Critical"))</f>
        <v>Critical</v>
      </c>
      <c r="G73" s="6" t="s">
        <v>101</v>
      </c>
      <c r="H73" s="6" t="s">
        <v>99</v>
      </c>
    </row>
    <row r="74" customFormat="false" ht="15" hidden="false" customHeight="false" outlineLevel="0" collapsed="false">
      <c r="A74" s="2" t="s">
        <v>102</v>
      </c>
      <c r="B74" s="3" t="s">
        <v>103</v>
      </c>
      <c r="C74" s="2" t="s">
        <v>10</v>
      </c>
      <c r="D74" s="2" t="s">
        <v>87</v>
      </c>
      <c r="E74" s="2" t="s">
        <v>87</v>
      </c>
      <c r="F74" s="4" t="str">
        <f aca="false">IF(D74="n/a","n/a",CHOOSE(MATCH(D74,{"Low","Medium","High"},0)*MATCH(E74,{"Low","Medium","High"},0),"Note","Low","Medium","Medium","","High","","","Critical"))</f>
        <v>n/a</v>
      </c>
      <c r="G74" s="3" t="s">
        <v>88</v>
      </c>
      <c r="H74" s="3"/>
    </row>
    <row r="75" customFormat="false" ht="15" hidden="false" customHeight="false" outlineLevel="0" collapsed="false">
      <c r="A75" s="5" t="s">
        <v>102</v>
      </c>
      <c r="B75" s="6" t="s">
        <v>103</v>
      </c>
      <c r="C75" s="5" t="s">
        <v>15</v>
      </c>
      <c r="D75" s="5" t="s">
        <v>87</v>
      </c>
      <c r="E75" s="5" t="s">
        <v>87</v>
      </c>
      <c r="F75" s="7" t="str">
        <f aca="false">IF(D75="n/a","n/a",CHOOSE(MATCH(D75,{"Low","Medium","High"},0)*MATCH(E75,{"Low","Medium","High"},0),"Note","Low","Medium","Medium","","High","","","Critical"))</f>
        <v>n/a</v>
      </c>
      <c r="G75" s="6" t="s">
        <v>88</v>
      </c>
      <c r="H75" s="6"/>
    </row>
    <row r="76" customFormat="false" ht="38.25" hidden="false" customHeight="true" outlineLevel="0" collapsed="false">
      <c r="A76" s="5" t="s">
        <v>102</v>
      </c>
      <c r="B76" s="6" t="s">
        <v>103</v>
      </c>
      <c r="C76" s="5" t="s">
        <v>18</v>
      </c>
      <c r="D76" s="5" t="s">
        <v>12</v>
      </c>
      <c r="E76" s="5" t="s">
        <v>16</v>
      </c>
      <c r="F76" s="7" t="str">
        <f aca="false">IF(D76="n/a","n/a",CHOOSE(MATCH(D76,{"Low","Medium","High"},0)*MATCH(E76,{"Low","Medium","High"},0),"Note","Low","Medium","Medium","","High","","","Critical"))</f>
        <v>High</v>
      </c>
      <c r="G76" s="6" t="s">
        <v>104</v>
      </c>
      <c r="H76" s="6" t="s">
        <v>105</v>
      </c>
    </row>
    <row r="77" customFormat="false" ht="15" hidden="false" customHeight="false" outlineLevel="0" collapsed="false">
      <c r="A77" s="5" t="s">
        <v>102</v>
      </c>
      <c r="B77" s="6" t="s">
        <v>103</v>
      </c>
      <c r="C77" s="5" t="s">
        <v>20</v>
      </c>
      <c r="D77" s="5" t="s">
        <v>87</v>
      </c>
      <c r="E77" s="5" t="s">
        <v>87</v>
      </c>
      <c r="F77" s="7" t="str">
        <f aca="false">IF(D77="n/a","n/a",CHOOSE(MATCH(D77,{"Low","Medium","High"},0)*MATCH(E77,{"Low","Medium","High"},0),"Note","Low","Medium","Medium","","High","","","Critical"))</f>
        <v>n/a</v>
      </c>
      <c r="G77" s="6" t="s">
        <v>88</v>
      </c>
      <c r="H77" s="6"/>
    </row>
    <row r="78" customFormat="false" ht="15" hidden="false" customHeight="false" outlineLevel="0" collapsed="false">
      <c r="A78" s="2" t="s">
        <v>106</v>
      </c>
      <c r="B78" s="3" t="s">
        <v>107</v>
      </c>
      <c r="C78" s="2" t="s">
        <v>10</v>
      </c>
      <c r="D78" s="2" t="s">
        <v>87</v>
      </c>
      <c r="E78" s="2" t="s">
        <v>87</v>
      </c>
      <c r="F78" s="4" t="str">
        <f aca="false">IF(D78="n/a","n/a",CHOOSE(MATCH(D78,{"Low","Medium","High"},0)*MATCH(E78,{"Low","Medium","High"},0),"Note","Low","Medium","Medium","","High","","","Critical"))</f>
        <v>n/a</v>
      </c>
      <c r="G78" s="3" t="s">
        <v>88</v>
      </c>
      <c r="H78" s="3"/>
    </row>
    <row r="79" customFormat="false" ht="25.5" hidden="false" customHeight="true" outlineLevel="0" collapsed="false">
      <c r="A79" s="5" t="s">
        <v>106</v>
      </c>
      <c r="B79" s="6" t="s">
        <v>107</v>
      </c>
      <c r="C79" s="5" t="s">
        <v>15</v>
      </c>
      <c r="D79" s="5" t="s">
        <v>11</v>
      </c>
      <c r="E79" s="5" t="s">
        <v>12</v>
      </c>
      <c r="F79" s="7" t="str">
        <f aca="false">IF(D79="n/a","n/a",CHOOSE(MATCH(D79,{"Low","Medium","High"},0)*MATCH(E79,{"Low","Medium","High"},0),"Note","Low","Medium","Medium","","High","","","Critical"))</f>
        <v>Low</v>
      </c>
      <c r="G79" s="6" t="s">
        <v>108</v>
      </c>
      <c r="H79" s="6" t="s">
        <v>109</v>
      </c>
    </row>
    <row r="80" customFormat="false" ht="25.5" hidden="false" customHeight="true" outlineLevel="0" collapsed="false">
      <c r="A80" s="5" t="s">
        <v>106</v>
      </c>
      <c r="B80" s="6" t="s">
        <v>107</v>
      </c>
      <c r="C80" s="5" t="s">
        <v>18</v>
      </c>
      <c r="D80" s="5" t="s">
        <v>12</v>
      </c>
      <c r="E80" s="5" t="s">
        <v>12</v>
      </c>
      <c r="F80" s="7" t="str">
        <f aca="false">IF(D80="n/a","n/a",CHOOSE(MATCH(D80,{"Low","Medium","High"},0)*MATCH(E80,{"Low","Medium","High"},0),"Note","Low","Medium","Medium","","High","","","Critical"))</f>
        <v>Medium</v>
      </c>
      <c r="G80" s="6" t="s">
        <v>110</v>
      </c>
      <c r="H80" s="6" t="s">
        <v>109</v>
      </c>
    </row>
    <row r="81" customFormat="false" ht="25.5" hidden="false" customHeight="true" outlineLevel="0" collapsed="false">
      <c r="A81" s="5" t="s">
        <v>106</v>
      </c>
      <c r="B81" s="6" t="s">
        <v>107</v>
      </c>
      <c r="C81" s="5" t="s">
        <v>20</v>
      </c>
      <c r="D81" s="5" t="s">
        <v>11</v>
      </c>
      <c r="E81" s="5" t="s">
        <v>12</v>
      </c>
      <c r="F81" s="7" t="str">
        <f aca="false">IF(D81="n/a","n/a",CHOOSE(MATCH(D81,{"Low","Medium","High"},0)*MATCH(E81,{"Low","Medium","High"},0),"Note","Low","Medium","Medium","","High","","","Critical"))</f>
        <v>Low</v>
      </c>
      <c r="G81" s="6" t="s">
        <v>111</v>
      </c>
      <c r="H81" s="6" t="s">
        <v>109</v>
      </c>
    </row>
    <row r="82" customFormat="false" ht="15" hidden="false" customHeight="false" outlineLevel="0" collapsed="false">
      <c r="A82" s="2" t="s">
        <v>112</v>
      </c>
      <c r="B82" s="3" t="s">
        <v>113</v>
      </c>
      <c r="C82" s="2" t="s">
        <v>10</v>
      </c>
      <c r="D82" s="2" t="s">
        <v>87</v>
      </c>
      <c r="E82" s="2" t="s">
        <v>87</v>
      </c>
      <c r="F82" s="4" t="str">
        <f aca="false">IF(D82="n/a","n/a",CHOOSE(MATCH(D82,{"Low","Medium","High"},0)*MATCH(E82,{"Low","Medium","High"},0),"Note","Low","Medium","Medium","","High","","","Critical"))</f>
        <v>n/a</v>
      </c>
      <c r="G82" s="3" t="s">
        <v>88</v>
      </c>
      <c r="H82" s="3"/>
    </row>
    <row r="83" customFormat="false" ht="25.5" hidden="false" customHeight="true" outlineLevel="0" collapsed="false">
      <c r="A83" s="5" t="s">
        <v>112</v>
      </c>
      <c r="B83" s="6" t="s">
        <v>113</v>
      </c>
      <c r="C83" s="5" t="s">
        <v>15</v>
      </c>
      <c r="D83" s="5" t="s">
        <v>12</v>
      </c>
      <c r="E83" s="5" t="s">
        <v>12</v>
      </c>
      <c r="F83" s="7" t="str">
        <f aca="false">IF(D83="n/a","n/a",CHOOSE(MATCH(D83,{"Low","Medium","High"},0)*MATCH(E83,{"Low","Medium","High"},0),"Note","Low","Medium","Medium","","High","","","Critical"))</f>
        <v>Medium</v>
      </c>
      <c r="G83" s="6" t="s">
        <v>114</v>
      </c>
      <c r="H83" s="6" t="s">
        <v>115</v>
      </c>
    </row>
    <row r="84" customFormat="false" ht="25.5" hidden="false" customHeight="true" outlineLevel="0" collapsed="false">
      <c r="A84" s="5" t="s">
        <v>112</v>
      </c>
      <c r="B84" s="6" t="s">
        <v>113</v>
      </c>
      <c r="C84" s="5" t="s">
        <v>18</v>
      </c>
      <c r="D84" s="5" t="s">
        <v>12</v>
      </c>
      <c r="E84" s="5" t="s">
        <v>12</v>
      </c>
      <c r="F84" s="7" t="str">
        <f aca="false">IF(D84="n/a","n/a",CHOOSE(MATCH(D84,{"Low","Medium","High"},0)*MATCH(E84,{"Low","Medium","High"},0),"Note","Low","Medium","Medium","","High","","","Critical"))</f>
        <v>Medium</v>
      </c>
      <c r="G84" s="6" t="s">
        <v>114</v>
      </c>
      <c r="H84" s="6" t="s">
        <v>115</v>
      </c>
    </row>
    <row r="85" customFormat="false" ht="25.5" hidden="false" customHeight="true" outlineLevel="0" collapsed="false">
      <c r="A85" s="5" t="s">
        <v>112</v>
      </c>
      <c r="B85" s="6" t="s">
        <v>113</v>
      </c>
      <c r="C85" s="5" t="s">
        <v>20</v>
      </c>
      <c r="D85" s="5" t="s">
        <v>12</v>
      </c>
      <c r="E85" s="5" t="s">
        <v>12</v>
      </c>
      <c r="F85" s="7" t="str">
        <f aca="false">IF(D85="n/a","n/a",CHOOSE(MATCH(D85,{"Low","Medium","High"},0)*MATCH(E85,{"Low","Medium","High"},0),"Note","Low","Medium","Medium","","High","","","Critical"))</f>
        <v>Medium</v>
      </c>
      <c r="G85" s="6" t="s">
        <v>114</v>
      </c>
      <c r="H85" s="6" t="s">
        <v>115</v>
      </c>
    </row>
  </sheetData>
  <autoFilter ref="A1:H85"/>
  <conditionalFormatting sqref="F2:F85">
    <cfRule type="expression" priority="2" aboveAverage="0" equalAverage="0" bottom="0" percent="0" rank="0" text="" dxfId="8">
      <formula>$F2="Note"</formula>
    </cfRule>
    <cfRule type="expression" priority="3" aboveAverage="0" equalAverage="0" bottom="0" percent="0" rank="0" text="" dxfId="9">
      <formula>$F2="Low"</formula>
    </cfRule>
    <cfRule type="expression" priority="4" aboveAverage="0" equalAverage="0" bottom="0" percent="0" rank="0" text="" dxfId="10">
      <formula>$F2="Medium"</formula>
    </cfRule>
    <cfRule type="expression" priority="5" aboveAverage="0" equalAverage="0" bottom="0" percent="0" rank="0" text="" dxfId="11">
      <formula>$F2="High"</formula>
    </cfRule>
    <cfRule type="expression" priority="6" aboveAverage="0" equalAverage="0" bottom="0" percent="0" rank="0" text="" dxfId="12">
      <formula>$F2="Critical"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2026-09-27T18:53:34Z</dcterms:created>
  <dc:creator>openpyxl</dc:creator>
  <dc:description/>
  <dc:language>en-US</dc:language>
  <cp:lastModifiedBy>Athanasia Kollarou</cp:lastModifiedBy>
  <dcterms:modified xsi:type="dcterms:W3CDTF">2026-09-27T19:35:48Z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