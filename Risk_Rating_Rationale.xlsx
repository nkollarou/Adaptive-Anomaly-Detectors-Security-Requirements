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atings" sheetId="1" state="visible" r:id="rId1"/>
  </sheets>
  <definedNames>
    <definedName name="_xlnm._FilterDatabase" localSheetId="0" hidden="1">'Ratings'!$A$1:$H$65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family val="2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CEBC5"/>
          <bgColor rgb="FF000000"/>
        </patternFill>
      </fill>
    </dxf>
    <dxf>
      <fill>
        <patternFill patternType="solid">
          <fgColor rgb="FFEBEBEB"/>
          <bgColor rgb="FF000000"/>
        </patternFill>
      </fill>
    </dxf>
    <dxf>
      <fill>
        <patternFill patternType="solid">
          <fgColor rgb="FFF08C8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E5B4"/>
          <bgColor rgb="FF000000"/>
        </patternFill>
      </fill>
    </dxf>
    <dxf>
      <fill>
        <patternFill>
          <bgColor rgb="FFEBEBEB"/>
        </patternFill>
      </fill>
    </dxf>
    <dxf>
      <fill>
        <patternFill>
          <bgColor rgb="FFCCEBC5"/>
        </patternFill>
      </fill>
    </dxf>
    <dxf>
      <fill>
        <patternFill>
          <bgColor rgb="FFFFE5B4"/>
        </patternFill>
      </fill>
    </dxf>
    <dxf>
      <fill>
        <patternFill>
          <bgColor rgb="FFFFCCCC"/>
        </patternFill>
      </fill>
    </dxf>
    <dxf>
      <fill>
        <patternFill>
          <bgColor rgb="FFF08C8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BEBEB"/>
      <rgbColor rgb="FFCCFFFF"/>
      <rgbColor rgb="FF660066"/>
      <rgbColor rgb="FFF08C8C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EBC5"/>
      <rgbColor rgb="FFFFE5B4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Unknown Author</author>
  </authors>
  <commentList>
    <comment ref="F1" authorId="0" shapeId="0">
      <text>
        <t>Risk = product of the scores of Likelihood and Impact (Low=1, Medium=2, High=3), mapped to the OWASP Risk Rating Methodology levels: 1 Note, 2 Low, 3-4 Medium, 6 High, 9 Critical.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G3" activeCellId="0" sqref="G3"/>
    </sheetView>
  </sheetViews>
  <sheetFormatPr baseColWidth="8" defaultColWidth="8.71484375" defaultRowHeight="15" zeroHeight="0" outlineLevelRow="0"/>
  <cols>
    <col width="7" customWidth="1" style="8" min="1" max="1"/>
    <col width="28" customWidth="1" style="8" min="2" max="2"/>
    <col width="7" customWidth="1" style="8" min="3" max="3"/>
    <col width="12" customWidth="1" style="8" min="4" max="4"/>
    <col width="10" customWidth="1" style="8" min="5" max="5"/>
    <col width="9.289999999999999" customWidth="1" style="8" min="6" max="6"/>
    <col width="62" customWidth="1" style="8" min="7" max="7"/>
    <col width="55" customWidth="1" style="8" min="8" max="8"/>
    <col hidden="1" width="1" customWidth="1" style="8" min="9" max="9"/>
  </cols>
  <sheetData>
    <row r="1" ht="39" customHeight="1" s="9">
      <c r="A1" s="10" t="inlineStr">
        <is>
          <t>ID</t>
        </is>
      </c>
      <c r="B1" s="10" t="inlineStr">
        <is>
          <t>Attack</t>
        </is>
      </c>
      <c r="C1" s="10" t="inlineStr">
        <is>
          <t>Mode</t>
        </is>
      </c>
      <c r="D1" s="10" t="inlineStr">
        <is>
          <t>Likelihood</t>
        </is>
      </c>
      <c r="E1" s="10" t="inlineStr">
        <is>
          <t>Impact</t>
        </is>
      </c>
      <c r="F1" s="10" t="inlineStr">
        <is>
          <t>Risk</t>
        </is>
      </c>
      <c r="G1" s="10" t="inlineStr">
        <is>
          <t>Likelihood rationale</t>
        </is>
      </c>
      <c r="H1" s="10" t="inlineStr">
        <is>
          <t>Impact rationale</t>
        </is>
      </c>
    </row>
    <row r="2" ht="38.25" customHeight="1" s="9">
      <c r="A2" s="11" t="inlineStr">
        <is>
          <t>A1</t>
        </is>
      </c>
      <c r="B2" s="12" t="inlineStr">
        <is>
          <t>Availability data poisoning</t>
        </is>
      </c>
      <c r="C2" s="11" t="inlineStr">
        <is>
          <t>S</t>
        </is>
      </c>
      <c r="D2" s="11" t="inlineStr">
        <is>
          <t>Low</t>
        </is>
      </c>
      <c r="E2" s="11" t="inlineStr">
        <is>
          <t>Medium</t>
        </is>
      </c>
      <c r="F2" s="13">
        <f>IF(D2="n/a","n/a",CHOOSE(MATCH(D2,{"Low","Medium","High"},0)*MATCH(E2,{"Low","Medium","High"},0),"Note","Low","Medium","Medium","","High","","","Critical"))</f>
        <v/>
      </c>
      <c r="G2" s="12" t="inlineStr">
        <is>
          <t>Requires access to the protected, stored training data.</t>
        </is>
      </c>
      <c r="H2" s="12" t="inlineStr">
        <is>
          <t>Degrades detection across the board; the loss is noticeable in performance monitoring and is temporary once poisoned data leave the training data.</t>
        </is>
      </c>
    </row>
    <row r="3" ht="38.25" customHeight="1" s="9">
      <c r="A3" s="14" t="inlineStr">
        <is>
          <t>A1</t>
        </is>
      </c>
      <c r="B3" s="15" t="inlineStr">
        <is>
          <t>Availability data poisoning</t>
        </is>
      </c>
      <c r="C3" s="14" t="inlineStr">
        <is>
          <t>R</t>
        </is>
      </c>
      <c r="D3" s="14" t="inlineStr">
        <is>
          <t>High</t>
        </is>
      </c>
      <c r="E3" s="14" t="inlineStr">
        <is>
          <t>Medium</t>
        </is>
      </c>
      <c r="F3" s="16">
        <f>IF(D3="n/a","n/a",CHOOSE(MATCH(D3,{"Low","Medium","High"},0)*MATCH(E3,{"Low","Medium","High"},0),"Note","Low","Medium","Medium","","High","","","Critical"))</f>
        <v/>
      </c>
      <c r="G3" s="15" t="inlineStr">
        <is>
          <t>Runtime data enter each retraining window, so partial testing data control is sufficient; no knowledge of the model is needed to degrade it.</t>
        </is>
      </c>
      <c r="H3" s="15" t="inlineStr">
        <is>
          <t>Degrades detection across the board; the loss is noticeable in performance monitoring and is temporary once poisoned data leave the training data.</t>
        </is>
      </c>
    </row>
    <row r="4" ht="38.25" customHeight="1" s="9">
      <c r="A4" s="14" t="inlineStr">
        <is>
          <t>A1</t>
        </is>
      </c>
      <c r="B4" s="15" t="inlineStr">
        <is>
          <t>Availability data poisoning</t>
        </is>
      </c>
      <c r="C4" s="14" t="inlineStr">
        <is>
          <t>F</t>
        </is>
      </c>
      <c r="D4" s="14" t="inlineStr">
        <is>
          <t>Medium</t>
        </is>
      </c>
      <c r="E4" s="14" t="inlineStr">
        <is>
          <t>Medium</t>
        </is>
      </c>
      <c r="F4" s="16">
        <f>IF(D4="n/a","n/a",CHOOSE(MATCH(D4,{"Low","Medium","High"},0)*MATCH(E4,{"Low","Medium","High"},0),"Note","Low","Medium","Medium","","High","","","Critical"))</f>
        <v/>
      </c>
      <c r="G4" s="15" t="inlineStr">
        <is>
          <t>Adaptation data pass through operator review, so poisoning must be sustained and inconspicuous over time.</t>
        </is>
      </c>
      <c r="H4" s="15" t="inlineStr">
        <is>
          <t>Degrades detection across the board; the loss is noticeable in performance monitoring and is temporary once poisoned data leave the training data.</t>
        </is>
      </c>
    </row>
    <row r="5" ht="38.25" customHeight="1" s="9">
      <c r="A5" s="14" t="inlineStr">
        <is>
          <t>A1</t>
        </is>
      </c>
      <c r="B5" s="15" t="inlineStr">
        <is>
          <t>Availability data poisoning</t>
        </is>
      </c>
      <c r="C5" s="14" t="inlineStr">
        <is>
          <t>FL</t>
        </is>
      </c>
      <c r="D5" s="14" t="inlineStr">
        <is>
          <t>High</t>
        </is>
      </c>
      <c r="E5" s="14" t="inlineStr">
        <is>
          <t>Medium</t>
        </is>
      </c>
      <c r="F5" s="16">
        <f>IF(D5="n/a","n/a",CHOOSE(MATCH(D5,{"Low","Medium","High"},0)*MATCH(E5,{"Low","Medium","High"},0),"Note","Low","Medium","Medium","","High","","","Critical"))</f>
        <v/>
      </c>
      <c r="G5" s="15" t="inlineStr">
        <is>
          <t>Runtime data at any single site enter local training, so partial testing data control at one site is sufficient.</t>
        </is>
      </c>
      <c r="H5" s="15" t="inlineStr">
        <is>
          <t>Degrades detection across the board; the loss is noticeable in performance monitoring and is temporary once poisoned data leave the training data.</t>
        </is>
      </c>
    </row>
    <row r="6" ht="25.5" customHeight="1" s="9">
      <c r="A6" s="11" t="inlineStr">
        <is>
          <t>A2</t>
        </is>
      </c>
      <c r="B6" s="12" t="inlineStr">
        <is>
          <t>Integrity data poisoning (targeted, backdoor)</t>
        </is>
      </c>
      <c r="C6" s="11" t="inlineStr">
        <is>
          <t>S</t>
        </is>
      </c>
      <c r="D6" s="11" t="inlineStr">
        <is>
          <t>Low</t>
        </is>
      </c>
      <c r="E6" s="11" t="inlineStr">
        <is>
          <t>High</t>
        </is>
      </c>
      <c r="F6" s="13">
        <f>IF(D6="n/a","n/a",CHOOSE(MATCH(D6,{"Low","Medium","High"},0)*MATCH(E6,{"Low","Medium","High"},0),"Note","Low","Medium","Medium","","High","","","Critical"))</f>
        <v/>
      </c>
      <c r="G6" s="12" t="inlineStr">
        <is>
          <t>Requires access to the protected training data.</t>
        </is>
      </c>
      <c r="H6" s="12" t="inlineStr">
        <is>
          <t>Makes a specific attack pattern appear normal, enabling undetected manipulation of the process; the effect persists across updates. A backdoor trigger implanted through runtime data has the same effect.</t>
        </is>
      </c>
    </row>
    <row r="7" ht="25.5" customHeight="1" s="9">
      <c r="A7" s="14" t="inlineStr">
        <is>
          <t>A2</t>
        </is>
      </c>
      <c r="B7" s="15" t="inlineStr">
        <is>
          <t>Integrity data poisoning (targeted, backdoor)</t>
        </is>
      </c>
      <c r="C7" s="14" t="inlineStr">
        <is>
          <t>R</t>
        </is>
      </c>
      <c r="D7" s="14" t="inlineStr">
        <is>
          <t>Medium</t>
        </is>
      </c>
      <c r="E7" s="14" t="inlineStr">
        <is>
          <t>High</t>
        </is>
      </c>
      <c r="F7" s="16">
        <f>IF(D7="n/a","n/a",CHOOSE(MATCH(D7,{"Low","Medium","High"},0)*MATCH(E7,{"Low","Medium","High"},0),"Note","Low","Medium","Medium","","High","","","Critical"))</f>
        <v/>
      </c>
      <c r="G7" s="15" t="inlineStr">
        <is>
          <t>Runtime data enter retraining, but the attacker must inject the target pattern over a sustained period without triggering alerts.</t>
        </is>
      </c>
      <c r="H7" s="15" t="inlineStr">
        <is>
          <t>Makes a specific attack pattern appear normal, enabling undetected manipulation of the process; the effect persists across updates. A backdoor trigger implanted through runtime data has the same effect.</t>
        </is>
      </c>
    </row>
    <row r="8" ht="25.5" customHeight="1" s="9">
      <c r="A8" s="14" t="inlineStr">
        <is>
          <t>A2</t>
        </is>
      </c>
      <c r="B8" s="15" t="inlineStr">
        <is>
          <t>Integrity data poisoning (targeted, backdoor)</t>
        </is>
      </c>
      <c r="C8" s="14" t="inlineStr">
        <is>
          <t>F</t>
        </is>
      </c>
      <c r="D8" s="14" t="inlineStr">
        <is>
          <t>Medium</t>
        </is>
      </c>
      <c r="E8" s="14" t="inlineStr">
        <is>
          <t>High</t>
        </is>
      </c>
      <c r="F8" s="16">
        <f>IF(D8="n/a","n/a",CHOOSE(MATCH(D8,{"Low","Medium","High"},0)*MATCH(E8,{"Low","Medium","High"},0),"Note","Low","Medium","Medium","","High","","","Critical"))</f>
        <v/>
      </c>
      <c r="G8" s="15" t="inlineStr">
        <is>
          <t>As in R; operator review adds an obstacle but does not prevent sustained injection of unflagged data.</t>
        </is>
      </c>
      <c r="H8" s="15" t="inlineStr">
        <is>
          <t>Makes a specific attack pattern appear normal, enabling undetected manipulation of the process; the effect persists across updates. A backdoor trigger implanted through runtime data has the same effect.</t>
        </is>
      </c>
    </row>
    <row r="9" ht="25.5" customHeight="1" s="9">
      <c r="A9" s="14" t="inlineStr">
        <is>
          <t>A2</t>
        </is>
      </c>
      <c r="B9" s="15" t="inlineStr">
        <is>
          <t>Integrity data poisoning (targeted, backdoor)</t>
        </is>
      </c>
      <c r="C9" s="14" t="inlineStr">
        <is>
          <t>FL</t>
        </is>
      </c>
      <c r="D9" s="14" t="inlineStr">
        <is>
          <t>Medium</t>
        </is>
      </c>
      <c r="E9" s="14" t="inlineStr">
        <is>
          <t>High</t>
        </is>
      </c>
      <c r="F9" s="16">
        <f>IF(D9="n/a","n/a",CHOOSE(MATCH(D9,{"Low","Medium","High"},0)*MATCH(E9,{"Low","Medium","High"},0),"Note","Low","Medium","Medium","","High","","","Critical"))</f>
        <v/>
      </c>
      <c r="G9" s="15" t="inlineStr">
        <is>
          <t>Local runtime data enter local training; sustained testing data control at one site is required.</t>
        </is>
      </c>
      <c r="H9" s="15" t="inlineStr">
        <is>
          <t>Makes a specific attack pattern appear normal, enabling undetected manipulation of the process; the effect persists across updates. A backdoor trigger implanted through runtime data has the same effect.</t>
        </is>
      </c>
    </row>
    <row r="10" ht="38.25" customHeight="1" s="9">
      <c r="A10" s="11" t="inlineStr">
        <is>
          <t>A3</t>
        </is>
      </c>
      <c r="B10" s="12" t="inlineStr">
        <is>
          <t>Availability model poisoning</t>
        </is>
      </c>
      <c r="C10" s="11" t="inlineStr">
        <is>
          <t>S</t>
        </is>
      </c>
      <c r="D10" s="11" t="inlineStr">
        <is>
          <t>Low</t>
        </is>
      </c>
      <c r="E10" s="11" t="inlineStr">
        <is>
          <t>Medium</t>
        </is>
      </c>
      <c r="F10" s="13">
        <f>IF(D10="n/a","n/a",CHOOSE(MATCH(D10,{"Low","Medium","High"},0)*MATCH(E10,{"Low","Medium","High"},0),"Note","Low","Medium","Medium","","High","","","Critical"))</f>
        <v/>
      </c>
      <c r="G10" s="12" t="inlineStr">
        <is>
          <t>Requires model control (supply chain or insider).</t>
        </is>
      </c>
      <c r="H10" s="12" t="inlineStr">
        <is>
          <t>Weakens or destabilizes the model; the effect is noticeable and can be reverted by retraining.</t>
        </is>
      </c>
    </row>
    <row r="11" ht="38.25" customHeight="1" s="9">
      <c r="A11" s="14" t="inlineStr">
        <is>
          <t>A3</t>
        </is>
      </c>
      <c r="B11" s="15" t="inlineStr">
        <is>
          <t>Availability model poisoning</t>
        </is>
      </c>
      <c r="C11" s="14" t="inlineStr">
        <is>
          <t>R</t>
        </is>
      </c>
      <c r="D11" s="14" t="inlineStr">
        <is>
          <t>Low</t>
        </is>
      </c>
      <c r="E11" s="14" t="inlineStr">
        <is>
          <t>Medium</t>
        </is>
      </c>
      <c r="F11" s="16">
        <f>IF(D11="n/a","n/a",CHOOSE(MATCH(D11,{"Low","Medium","High"},0)*MATCH(E11,{"Low","Medium","High"},0),"Note","Low","Medium","Medium","","High","","","Critical"))</f>
        <v/>
      </c>
      <c r="G11" s="15" t="inlineStr">
        <is>
          <t>Requires model control (supply chain or insider).</t>
        </is>
      </c>
      <c r="H11" s="15" t="inlineStr">
        <is>
          <t>Weakens or destabilizes the model; the effect is noticeable and can be reverted by retraining.</t>
        </is>
      </c>
    </row>
    <row r="12" ht="38.25" customHeight="1" s="9">
      <c r="A12" s="14" t="inlineStr">
        <is>
          <t>A3</t>
        </is>
      </c>
      <c r="B12" s="15" t="inlineStr">
        <is>
          <t>Availability model poisoning</t>
        </is>
      </c>
      <c r="C12" s="14" t="inlineStr">
        <is>
          <t>F</t>
        </is>
      </c>
      <c r="D12" s="14" t="inlineStr">
        <is>
          <t>Low</t>
        </is>
      </c>
      <c r="E12" s="14" t="inlineStr">
        <is>
          <t>Medium</t>
        </is>
      </c>
      <c r="F12" s="16">
        <f>IF(D12="n/a","n/a",CHOOSE(MATCH(D12,{"Low","Medium","High"},0)*MATCH(E12,{"Low","Medium","High"},0),"Note","Low","Medium","Medium","","High","","","Critical"))</f>
        <v/>
      </c>
      <c r="G12" s="15" t="inlineStr">
        <is>
          <t>Requires model control (supply chain or insider).</t>
        </is>
      </c>
      <c r="H12" s="15" t="inlineStr">
        <is>
          <t>Weakens or destabilizes the model; the effect is noticeable and can be reverted by retraining.</t>
        </is>
      </c>
    </row>
    <row r="13" ht="38.25" customHeight="1" s="9">
      <c r="A13" s="14" t="inlineStr">
        <is>
          <t>A3</t>
        </is>
      </c>
      <c r="B13" s="15" t="inlineStr">
        <is>
          <t>Availability model poisoning</t>
        </is>
      </c>
      <c r="C13" s="14" t="inlineStr">
        <is>
          <t>FL</t>
        </is>
      </c>
      <c r="D13" s="14" t="inlineStr">
        <is>
          <t>Medium</t>
        </is>
      </c>
      <c r="E13" s="14" t="inlineStr">
        <is>
          <t>Medium</t>
        </is>
      </c>
      <c r="F13" s="16">
        <f>IF(D13="n/a","n/a",CHOOSE(MATCH(D13,{"Low","Medium","High"},0)*MATCH(E13,{"Low","Medium","High"},0),"Note","Low","Medium","Medium","","High","","","Critical"))</f>
        <v/>
      </c>
      <c r="G13" s="15" t="inlineStr">
        <is>
          <t>A single compromised site can submit manipulated updates in every round; model control is obtainable through one participant.</t>
        </is>
      </c>
      <c r="H13" s="15" t="inlineStr">
        <is>
          <t>Weakens or destabilizes the model; the effect is noticeable and can be reverted by retraining.</t>
        </is>
      </c>
    </row>
    <row r="14" ht="25.5" customHeight="1" s="9">
      <c r="A14" s="11" t="inlineStr">
        <is>
          <t>A4</t>
        </is>
      </c>
      <c r="B14" s="12" t="inlineStr">
        <is>
          <t>Integrity model poisoning (targeted, backdoor)</t>
        </is>
      </c>
      <c r="C14" s="11" t="inlineStr">
        <is>
          <t>S</t>
        </is>
      </c>
      <c r="D14" s="11" t="inlineStr">
        <is>
          <t>Low</t>
        </is>
      </c>
      <c r="E14" s="11" t="inlineStr">
        <is>
          <t>High</t>
        </is>
      </c>
      <c r="F14" s="13">
        <f>IF(D14="n/a","n/a",CHOOSE(MATCH(D14,{"Low","Medium","High"},0)*MATCH(E14,{"Low","Medium","High"},0),"Note","Low","Medium","Medium","","High","","","Critical"))</f>
        <v/>
      </c>
      <c r="G14" s="12" t="inlineStr">
        <is>
          <t>Requires model control.</t>
        </is>
      </c>
      <c r="H14" s="12" t="inlineStr">
        <is>
          <t>Makes a specific attack pattern appear normal, enabling undetected manipulation of the process. A backdoor embedded in updates has the same effect, but must persist across updates.</t>
        </is>
      </c>
    </row>
    <row r="15" ht="25.5" customHeight="1" s="9">
      <c r="A15" s="14" t="inlineStr">
        <is>
          <t>A4</t>
        </is>
      </c>
      <c r="B15" s="15" t="inlineStr">
        <is>
          <t>Integrity model poisoning (targeted, backdoor)</t>
        </is>
      </c>
      <c r="C15" s="14" t="inlineStr">
        <is>
          <t>R</t>
        </is>
      </c>
      <c r="D15" s="14" t="inlineStr">
        <is>
          <t>Low</t>
        </is>
      </c>
      <c r="E15" s="14" t="inlineStr">
        <is>
          <t>High</t>
        </is>
      </c>
      <c r="F15" s="16">
        <f>IF(D15="n/a","n/a",CHOOSE(MATCH(D15,{"Low","Medium","High"},0)*MATCH(E15,{"Low","Medium","High"},0),"Note","Low","Medium","Medium","","High","","","Critical"))</f>
        <v/>
      </c>
      <c r="G15" s="15" t="inlineStr">
        <is>
          <t>Requires model control.</t>
        </is>
      </c>
      <c r="H15" s="15" t="inlineStr">
        <is>
          <t>Makes a specific attack pattern appear normal, enabling undetected manipulation of the process. A backdoor embedded in updates has the same effect, but must persist across updates.</t>
        </is>
      </c>
    </row>
    <row r="16" ht="25.5" customHeight="1" s="9">
      <c r="A16" s="14" t="inlineStr">
        <is>
          <t>A4</t>
        </is>
      </c>
      <c r="B16" s="15" t="inlineStr">
        <is>
          <t>Integrity model poisoning (targeted, backdoor)</t>
        </is>
      </c>
      <c r="C16" s="14" t="inlineStr">
        <is>
          <t>F</t>
        </is>
      </c>
      <c r="D16" s="14" t="inlineStr">
        <is>
          <t>Low</t>
        </is>
      </c>
      <c r="E16" s="14" t="inlineStr">
        <is>
          <t>High</t>
        </is>
      </c>
      <c r="F16" s="16">
        <f>IF(D16="n/a","n/a",CHOOSE(MATCH(D16,{"Low","Medium","High"},0)*MATCH(E16,{"Low","Medium","High"},0),"Note","Low","Medium","Medium","","High","","","Critical"))</f>
        <v/>
      </c>
      <c r="G16" s="15" t="inlineStr">
        <is>
          <t>Requires model control.</t>
        </is>
      </c>
      <c r="H16" s="15" t="inlineStr">
        <is>
          <t>Makes a specific attack pattern appear normal, enabling undetected manipulation of the process. A backdoor embedded in updates has the same effect, but must persist across updates.</t>
        </is>
      </c>
    </row>
    <row r="17" ht="25.5" customHeight="1" s="9">
      <c r="A17" s="14" t="inlineStr">
        <is>
          <t>A4</t>
        </is>
      </c>
      <c r="B17" s="15" t="inlineStr">
        <is>
          <t>Integrity model poisoning (targeted, backdoor)</t>
        </is>
      </c>
      <c r="C17" s="14" t="inlineStr">
        <is>
          <t>FL</t>
        </is>
      </c>
      <c r="D17" s="14" t="inlineStr">
        <is>
          <t>Medium</t>
        </is>
      </c>
      <c r="E17" s="14" t="inlineStr">
        <is>
          <t>High</t>
        </is>
      </c>
      <c r="F17" s="16">
        <f>IF(D17="n/a","n/a",CHOOSE(MATCH(D17,{"Low","Medium","High"},0)*MATCH(E17,{"Low","Medium","High"},0),"Note","Low","Medium","Medium","","High","","","Critical"))</f>
        <v/>
      </c>
      <c r="G17" s="15" t="inlineStr">
        <is>
          <t>A compromised site can craft targeted updates; model control is obtainable through one participant.</t>
        </is>
      </c>
      <c r="H17" s="15" t="inlineStr">
        <is>
          <t>Makes a specific attack pattern appear normal, enabling undetected manipulation of the process. A backdoor embedded in updates has the same effect, but must persist across updates.</t>
        </is>
      </c>
    </row>
    <row r="18" ht="25.5" customHeight="1" s="9">
      <c r="A18" s="11" t="inlineStr">
        <is>
          <t>A5</t>
        </is>
      </c>
      <c r="B18" s="12" t="inlineStr">
        <is>
          <t>White-box evasion (optimization-based, universal)</t>
        </is>
      </c>
      <c r="C18" s="11" t="inlineStr">
        <is>
          <t>S</t>
        </is>
      </c>
      <c r="D18" s="11" t="inlineStr">
        <is>
          <t>Low</t>
        </is>
      </c>
      <c r="E18" s="11" t="inlineStr">
        <is>
          <t>High</t>
        </is>
      </c>
      <c r="F18" s="13">
        <f>IF(D18="n/a","n/a",CHOOSE(MATCH(D18,{"Low","Medium","High"},0)*MATCH(E18,{"Low","Medium","High"},0),"Note","Low","Medium","Medium","","High","","","Critical"))</f>
        <v/>
      </c>
      <c r="G18" s="12" t="inlineStr">
        <is>
          <t>Requires white-box knowledge; model internals and anomaly scores are not accessible to the attacker.</t>
        </is>
      </c>
      <c r="H18" s="12" t="inlineStr">
        <is>
          <t>A successful evasion hides an attack on the process.</t>
        </is>
      </c>
    </row>
    <row r="19" ht="25.5" customHeight="1" s="9">
      <c r="A19" s="14" t="inlineStr">
        <is>
          <t>A5</t>
        </is>
      </c>
      <c r="B19" s="15" t="inlineStr">
        <is>
          <t>White-box evasion (optimization-based, universal)</t>
        </is>
      </c>
      <c r="C19" s="14" t="inlineStr">
        <is>
          <t>R</t>
        </is>
      </c>
      <c r="D19" s="14" t="inlineStr">
        <is>
          <t>Low</t>
        </is>
      </c>
      <c r="E19" s="14" t="inlineStr">
        <is>
          <t>High</t>
        </is>
      </c>
      <c r="F19" s="16">
        <f>IF(D19="n/a","n/a",CHOOSE(MATCH(D19,{"Low","Medium","High"},0)*MATCH(E19,{"Low","Medium","High"},0),"Note","Low","Medium","Medium","","High","","","Critical"))</f>
        <v/>
      </c>
      <c r="G19" s="15" t="inlineStr">
        <is>
          <t>As in S.</t>
        </is>
      </c>
      <c r="H19" s="15" t="inlineStr">
        <is>
          <t>A successful evasion hides an attack on the process.</t>
        </is>
      </c>
    </row>
    <row r="20" ht="25.5" customHeight="1" s="9">
      <c r="A20" s="14" t="inlineStr">
        <is>
          <t>A5</t>
        </is>
      </c>
      <c r="B20" s="15" t="inlineStr">
        <is>
          <t>White-box evasion (optimization-based, universal)</t>
        </is>
      </c>
      <c r="C20" s="14" t="inlineStr">
        <is>
          <t>F</t>
        </is>
      </c>
      <c r="D20" s="14" t="inlineStr">
        <is>
          <t>Low</t>
        </is>
      </c>
      <c r="E20" s="14" t="inlineStr">
        <is>
          <t>High</t>
        </is>
      </c>
      <c r="F20" s="16">
        <f>IF(D20="n/a","n/a",CHOOSE(MATCH(D20,{"Low","Medium","High"},0)*MATCH(E20,{"Low","Medium","High"},0),"Note","Low","Medium","Medium","","High","","","Critical"))</f>
        <v/>
      </c>
      <c r="G20" s="15" t="inlineStr">
        <is>
          <t>As in S.</t>
        </is>
      </c>
      <c r="H20" s="15" t="inlineStr">
        <is>
          <t>A successful evasion hides an attack on the process.</t>
        </is>
      </c>
    </row>
    <row r="21" ht="25.5" customHeight="1" s="9">
      <c r="A21" s="14" t="inlineStr">
        <is>
          <t>A5</t>
        </is>
      </c>
      <c r="B21" s="15" t="inlineStr">
        <is>
          <t>White-box evasion (optimization-based, universal)</t>
        </is>
      </c>
      <c r="C21" s="14" t="inlineStr">
        <is>
          <t>FL</t>
        </is>
      </c>
      <c r="D21" s="14" t="inlineStr">
        <is>
          <t>Medium</t>
        </is>
      </c>
      <c r="E21" s="14" t="inlineStr">
        <is>
          <t>High</t>
        </is>
      </c>
      <c r="F21" s="16">
        <f>IF(D21="n/a","n/a",CHOOSE(MATCH(D21,{"Low","Medium","High"},0)*MATCH(E21,{"Low","Medium","High"},0),"Note","Low","Medium","Medium","","High","","","Critical"))</f>
        <v/>
      </c>
      <c r="G21" s="15" t="inlineStr">
        <is>
          <t>Every participating site receives the global model, so a compromised site obtains white-box access.</t>
        </is>
      </c>
      <c r="H21" s="15" t="inlineStr">
        <is>
          <t>A successful evasion hides an attack on the process.</t>
        </is>
      </c>
    </row>
    <row r="22" ht="25.5" customHeight="1" s="9">
      <c r="A22" s="11" t="inlineStr">
        <is>
          <t>A6</t>
        </is>
      </c>
      <c r="B22" s="12" t="inlineStr">
        <is>
          <t>Physically realizable evasion</t>
        </is>
      </c>
      <c r="C22" s="11" t="inlineStr">
        <is>
          <t>S</t>
        </is>
      </c>
      <c r="D22" s="11" t="inlineStr">
        <is>
          <t>Medium</t>
        </is>
      </c>
      <c r="E22" s="11" t="inlineStr">
        <is>
          <t>High</t>
        </is>
      </c>
      <c r="F22" s="13">
        <f>IF(D22="n/a","n/a",CHOOSE(MATCH(D22,{"Low","Medium","High"},0)*MATCH(E22,{"Low","Medium","High"},0),"Note","Low","Medium","Medium","","High","","","Critical"))</f>
        <v/>
      </c>
      <c r="G22" s="12" t="inlineStr">
        <is>
          <t>Requires sustained control of field devices and knowledge of the physical constraints of the process, but no model internals.</t>
        </is>
      </c>
      <c r="H22" s="12" t="inlineStr">
        <is>
          <t>A successful evasion hides an attack on the process.</t>
        </is>
      </c>
    </row>
    <row r="23" ht="25.5" customHeight="1" s="9">
      <c r="A23" s="14" t="inlineStr">
        <is>
          <t>A6</t>
        </is>
      </c>
      <c r="B23" s="15" t="inlineStr">
        <is>
          <t>Physically realizable evasion</t>
        </is>
      </c>
      <c r="C23" s="14" t="inlineStr">
        <is>
          <t>R</t>
        </is>
      </c>
      <c r="D23" s="14" t="inlineStr">
        <is>
          <t>Medium</t>
        </is>
      </c>
      <c r="E23" s="14" t="inlineStr">
        <is>
          <t>High</t>
        </is>
      </c>
      <c r="F23" s="16">
        <f>IF(D23="n/a","n/a",CHOOSE(MATCH(D23,{"Low","Medium","High"},0)*MATCH(E23,{"Low","Medium","High"},0),"Note","Low","Medium","Medium","","High","","","Critical"))</f>
        <v/>
      </c>
      <c r="G23" s="15" t="inlineStr">
        <is>
          <t>Requires sustained control of field devices and knowledge of the physical constraints of the process, but no model internals.</t>
        </is>
      </c>
      <c r="H23" s="15" t="inlineStr">
        <is>
          <t>A successful evasion hides an attack on the process.</t>
        </is>
      </c>
    </row>
    <row r="24" ht="25.5" customHeight="1" s="9">
      <c r="A24" s="14" t="inlineStr">
        <is>
          <t>A6</t>
        </is>
      </c>
      <c r="B24" s="15" t="inlineStr">
        <is>
          <t>Physically realizable evasion</t>
        </is>
      </c>
      <c r="C24" s="14" t="inlineStr">
        <is>
          <t>F</t>
        </is>
      </c>
      <c r="D24" s="14" t="inlineStr">
        <is>
          <t>Medium</t>
        </is>
      </c>
      <c r="E24" s="14" t="inlineStr">
        <is>
          <t>High</t>
        </is>
      </c>
      <c r="F24" s="16">
        <f>IF(D24="n/a","n/a",CHOOSE(MATCH(D24,{"Low","Medium","High"},0)*MATCH(E24,{"Low","Medium","High"},0),"Note","Low","Medium","Medium","","High","","","Critical"))</f>
        <v/>
      </c>
      <c r="G24" s="15" t="inlineStr">
        <is>
          <t>Requires sustained control of field devices and knowledge of the physical constraints of the process, but no model internals.</t>
        </is>
      </c>
      <c r="H24" s="15" t="inlineStr">
        <is>
          <t>A successful evasion hides an attack on the process.</t>
        </is>
      </c>
    </row>
    <row r="25" ht="25.5" customHeight="1" s="9">
      <c r="A25" s="14" t="inlineStr">
        <is>
          <t>A6</t>
        </is>
      </c>
      <c r="B25" s="15" t="inlineStr">
        <is>
          <t>Physically realizable evasion</t>
        </is>
      </c>
      <c r="C25" s="14" t="inlineStr">
        <is>
          <t>FL</t>
        </is>
      </c>
      <c r="D25" s="14" t="inlineStr">
        <is>
          <t>Medium</t>
        </is>
      </c>
      <c r="E25" s="14" t="inlineStr">
        <is>
          <t>High</t>
        </is>
      </c>
      <c r="F25" s="16">
        <f>IF(D25="n/a","n/a",CHOOSE(MATCH(D25,{"Low","Medium","High"},0)*MATCH(E25,{"Low","Medium","High"},0),"Note","Low","Medium","Medium","","High","","","Critical"))</f>
        <v/>
      </c>
      <c r="G25" s="15" t="inlineStr">
        <is>
          <t>Requires sustained control of field devices and knowledge of the physical constraints of the process, but no model internals.</t>
        </is>
      </c>
      <c r="H25" s="15" t="inlineStr">
        <is>
          <t>A successful evasion hides an attack on the process.</t>
        </is>
      </c>
    </row>
    <row r="26" ht="25.5" customHeight="1" s="9">
      <c r="A26" s="11" t="inlineStr">
        <is>
          <t>A7</t>
        </is>
      </c>
      <c r="B26" s="12" t="inlineStr">
        <is>
          <t>Score-based evasion</t>
        </is>
      </c>
      <c r="C26" s="11" t="inlineStr">
        <is>
          <t>S</t>
        </is>
      </c>
      <c r="D26" s="11" t="inlineStr">
        <is>
          <t>Low</t>
        </is>
      </c>
      <c r="E26" s="11" t="inlineStr">
        <is>
          <t>High</t>
        </is>
      </c>
      <c r="F26" s="13">
        <f>IF(D26="n/a","n/a",CHOOSE(MATCH(D26,{"Low","Medium","High"},0)*MATCH(E26,{"Low","Medium","High"},0),"Note","Low","Medium","Medium","","High","","","Critical"))</f>
        <v/>
      </c>
      <c r="G26" s="12" t="inlineStr">
        <is>
          <t>Requires observation of anomaly scores, which are visible only to operators under the threat model.</t>
        </is>
      </c>
      <c r="H26" s="12" t="inlineStr">
        <is>
          <t>A successful evasion hides an attack on the process.</t>
        </is>
      </c>
    </row>
    <row r="27" ht="15" customHeight="1" s="9">
      <c r="A27" s="14" t="inlineStr">
        <is>
          <t>A7</t>
        </is>
      </c>
      <c r="B27" s="15" t="inlineStr">
        <is>
          <t>Score-based evasion</t>
        </is>
      </c>
      <c r="C27" s="14" t="inlineStr">
        <is>
          <t>R</t>
        </is>
      </c>
      <c r="D27" s="14" t="inlineStr">
        <is>
          <t>Low</t>
        </is>
      </c>
      <c r="E27" s="14" t="inlineStr">
        <is>
          <t>High</t>
        </is>
      </c>
      <c r="F27" s="16">
        <f>IF(D27="n/a","n/a",CHOOSE(MATCH(D27,{"Low","Medium","High"},0)*MATCH(E27,{"Low","Medium","High"},0),"Note","Low","Medium","Medium","","High","","","Critical"))</f>
        <v/>
      </c>
      <c r="G27" s="15" t="inlineStr">
        <is>
          <t>Requires observation of anomaly scores, which are visible only to operators under the threat model.</t>
        </is>
      </c>
      <c r="H27" s="15" t="inlineStr">
        <is>
          <t>A successful evasion hides an attack on the process.</t>
        </is>
      </c>
    </row>
    <row r="28" ht="15" customHeight="1" s="9">
      <c r="A28" s="14" t="inlineStr">
        <is>
          <t>A7</t>
        </is>
      </c>
      <c r="B28" s="15" t="inlineStr">
        <is>
          <t>Score-based evasion</t>
        </is>
      </c>
      <c r="C28" s="14" t="inlineStr">
        <is>
          <t>F</t>
        </is>
      </c>
      <c r="D28" s="14" t="inlineStr">
        <is>
          <t>Low</t>
        </is>
      </c>
      <c r="E28" s="14" t="inlineStr">
        <is>
          <t>High</t>
        </is>
      </c>
      <c r="F28" s="16">
        <f>IF(D28="n/a","n/a",CHOOSE(MATCH(D28,{"Low","Medium","High"},0)*MATCH(E28,{"Low","Medium","High"},0),"Note","Low","Medium","Medium","","High","","","Critical"))</f>
        <v/>
      </c>
      <c r="G28" s="15" t="inlineStr">
        <is>
          <t>Requires observation of anomaly scores, which are visible only to operators under the threat model.</t>
        </is>
      </c>
      <c r="H28" s="15" t="inlineStr">
        <is>
          <t>A successful evasion hides an attack on the process.</t>
        </is>
      </c>
    </row>
    <row r="29" ht="25.5" customHeight="1" s="9">
      <c r="A29" s="14" t="inlineStr">
        <is>
          <t>A7</t>
        </is>
      </c>
      <c r="B29" s="15" t="inlineStr">
        <is>
          <t>Score-based evasion</t>
        </is>
      </c>
      <c r="C29" s="14" t="inlineStr">
        <is>
          <t>FL</t>
        </is>
      </c>
      <c r="D29" s="14" t="inlineStr">
        <is>
          <t>Low</t>
        </is>
      </c>
      <c r="E29" s="14" t="inlineStr">
        <is>
          <t>High</t>
        </is>
      </c>
      <c r="F29" s="16">
        <f>IF(D29="n/a","n/a",CHOOSE(MATCH(D29,{"Low","Medium","High"},0)*MATCH(E29,{"Low","Medium","High"},0),"Note","Low","Medium","Medium","","High","","","Critical"))</f>
        <v/>
      </c>
      <c r="G29" s="15" t="inlineStr">
        <is>
          <t>Requires observation of anomaly scores, which are visible only to operators under the threat model.</t>
        </is>
      </c>
      <c r="H29" s="15" t="inlineStr">
        <is>
          <t>A successful evasion hides an attack on the process.</t>
        </is>
      </c>
    </row>
    <row r="30" ht="15" customHeight="1" s="9">
      <c r="A30" s="11" t="inlineStr">
        <is>
          <t>A8</t>
        </is>
      </c>
      <c r="B30" s="12" t="inlineStr">
        <is>
          <t>Decision-based evasion</t>
        </is>
      </c>
      <c r="C30" s="11" t="inlineStr">
        <is>
          <t>S</t>
        </is>
      </c>
      <c r="D30" s="11" t="inlineStr">
        <is>
          <t>Medium</t>
        </is>
      </c>
      <c r="E30" s="11" t="inlineStr">
        <is>
          <t>High</t>
        </is>
      </c>
      <c r="F30" s="13">
        <f>IF(D30="n/a","n/a",CHOOSE(MATCH(D30,{"Low","Medium","High"},0)*MATCH(E30,{"Low","Medium","High"},0),"Note","Low","Medium","Medium","","High","","","Critical"))</f>
        <v/>
      </c>
      <c r="G30" s="12" t="inlineStr">
        <is>
          <t>Requires only indirect query access, i.e., observing whether actions trigger alarms or operator responses, over repeated attempts.</t>
        </is>
      </c>
      <c r="H30" s="12" t="inlineStr">
        <is>
          <t>A successful evasion hides an attack on the process.</t>
        </is>
      </c>
    </row>
    <row r="31" ht="15" customHeight="1" s="9">
      <c r="A31" s="14" t="inlineStr">
        <is>
          <t>A8</t>
        </is>
      </c>
      <c r="B31" s="15" t="inlineStr">
        <is>
          <t>Decision-based evasion</t>
        </is>
      </c>
      <c r="C31" s="14" t="inlineStr">
        <is>
          <t>R</t>
        </is>
      </c>
      <c r="D31" s="14" t="inlineStr">
        <is>
          <t>Medium</t>
        </is>
      </c>
      <c r="E31" s="14" t="inlineStr">
        <is>
          <t>High</t>
        </is>
      </c>
      <c r="F31" s="16">
        <f>IF(D31="n/a","n/a",CHOOSE(MATCH(D31,{"Low","Medium","High"},0)*MATCH(E31,{"Low","Medium","High"},0),"Note","Low","Medium","Medium","","High","","","Critical"))</f>
        <v/>
      </c>
      <c r="G31" s="15" t="inlineStr">
        <is>
          <t>Requires only indirect query access, i.e., observing whether actions trigger alarms or operator responses, over repeated attempts.</t>
        </is>
      </c>
      <c r="H31" s="15" t="inlineStr">
        <is>
          <t>A successful evasion hides an attack on the process.</t>
        </is>
      </c>
    </row>
    <row r="32" ht="15" customHeight="1" s="9">
      <c r="A32" s="14" t="inlineStr">
        <is>
          <t>A8</t>
        </is>
      </c>
      <c r="B32" s="15" t="inlineStr">
        <is>
          <t>Decision-based evasion</t>
        </is>
      </c>
      <c r="C32" s="14" t="inlineStr">
        <is>
          <t>F</t>
        </is>
      </c>
      <c r="D32" s="14" t="inlineStr">
        <is>
          <t>Medium</t>
        </is>
      </c>
      <c r="E32" s="14" t="inlineStr">
        <is>
          <t>High</t>
        </is>
      </c>
      <c r="F32" s="16">
        <f>IF(D32="n/a","n/a",CHOOSE(MATCH(D32,{"Low","Medium","High"},0)*MATCH(E32,{"Low","Medium","High"},0),"Note","Low","Medium","Medium","","High","","","Critical"))</f>
        <v/>
      </c>
      <c r="G32" s="15" t="inlineStr">
        <is>
          <t>Requires only indirect query access, i.e., observing whether actions trigger alarms or operator responses, over repeated attempts.</t>
        </is>
      </c>
      <c r="H32" s="15" t="inlineStr">
        <is>
          <t>A successful evasion hides an attack on the process.</t>
        </is>
      </c>
    </row>
    <row r="33" ht="25.5" customHeight="1" s="9">
      <c r="A33" s="14" t="inlineStr">
        <is>
          <t>A8</t>
        </is>
      </c>
      <c r="B33" s="15" t="inlineStr">
        <is>
          <t>Decision-based evasion</t>
        </is>
      </c>
      <c r="C33" s="14" t="inlineStr">
        <is>
          <t>FL</t>
        </is>
      </c>
      <c r="D33" s="14" t="inlineStr">
        <is>
          <t>Medium</t>
        </is>
      </c>
      <c r="E33" s="14" t="inlineStr">
        <is>
          <t>High</t>
        </is>
      </c>
      <c r="F33" s="16">
        <f>IF(D33="n/a","n/a",CHOOSE(MATCH(D33,{"Low","Medium","High"},0)*MATCH(E33,{"Low","Medium","High"},0),"Note","Low","Medium","Medium","","High","","","Critical"))</f>
        <v/>
      </c>
      <c r="G33" s="15" t="inlineStr">
        <is>
          <t>Requires only indirect query access, i.e., observing whether actions trigger alarms or operator responses, over repeated attempts.</t>
        </is>
      </c>
      <c r="H33" s="15" t="inlineStr">
        <is>
          <t>A successful evasion hides an attack on the process.</t>
        </is>
      </c>
    </row>
    <row r="34" ht="25.5" customHeight="1" s="9">
      <c r="A34" s="11" t="inlineStr">
        <is>
          <t>A9</t>
        </is>
      </c>
      <c r="B34" s="12" t="inlineStr">
        <is>
          <t>Training-data inference (reconstruction, membership, property)</t>
        </is>
      </c>
      <c r="C34" s="11" t="inlineStr">
        <is>
          <t>S</t>
        </is>
      </c>
      <c r="D34" s="11" t="inlineStr">
        <is>
          <t>Low</t>
        </is>
      </c>
      <c r="E34" s="11" t="inlineStr">
        <is>
          <t>Medium</t>
        </is>
      </c>
      <c r="F34" s="13">
        <f>IF(D34="n/a","n/a",CHOOSE(MATCH(D34,{"Low","Medium","High"},0)*MATCH(E34,{"Low","Medium","High"},0),"Note","Low","Medium","Medium","","High","","","Critical"))</f>
        <v/>
      </c>
      <c r="G34" s="12" t="inlineStr">
        <is>
          <t>Requires query access to outputs, which are not exposed.</t>
        </is>
      </c>
      <c r="H34" s="12" t="inlineStr">
        <is>
          <t>Leaks partial information about operational data. Rated at the highest impact among the merged subclasses; membership inference alone reveals little.</t>
        </is>
      </c>
    </row>
    <row r="35" ht="25.5" customHeight="1" s="9">
      <c r="A35" s="14" t="inlineStr">
        <is>
          <t>A9</t>
        </is>
      </c>
      <c r="B35" s="15" t="inlineStr">
        <is>
          <t>Training-data inference (reconstruction, membership, property)</t>
        </is>
      </c>
      <c r="C35" s="14" t="inlineStr">
        <is>
          <t>R</t>
        </is>
      </c>
      <c r="D35" s="14" t="inlineStr">
        <is>
          <t>Low</t>
        </is>
      </c>
      <c r="E35" s="14" t="inlineStr">
        <is>
          <t>Medium</t>
        </is>
      </c>
      <c r="F35" s="16">
        <f>IF(D35="n/a","n/a",CHOOSE(MATCH(D35,{"Low","Medium","High"},0)*MATCH(E35,{"Low","Medium","High"},0),"Note","Low","Medium","Medium","","High","","","Critical"))</f>
        <v/>
      </c>
      <c r="G35" s="15" t="inlineStr">
        <is>
          <t>As in S.</t>
        </is>
      </c>
      <c r="H35" s="15" t="inlineStr">
        <is>
          <t>Leaks partial information about operational data. Rated at the highest impact among the merged subclasses; membership inference alone reveals little.</t>
        </is>
      </c>
    </row>
    <row r="36" ht="25.5" customHeight="1" s="9">
      <c r="A36" s="14" t="inlineStr">
        <is>
          <t>A9</t>
        </is>
      </c>
      <c r="B36" s="15" t="inlineStr">
        <is>
          <t>Training-data inference (reconstruction, membership, property)</t>
        </is>
      </c>
      <c r="C36" s="14" t="inlineStr">
        <is>
          <t>F</t>
        </is>
      </c>
      <c r="D36" s="14" t="inlineStr">
        <is>
          <t>Low</t>
        </is>
      </c>
      <c r="E36" s="14" t="inlineStr">
        <is>
          <t>Medium</t>
        </is>
      </c>
      <c r="F36" s="16">
        <f>IF(D36="n/a","n/a",CHOOSE(MATCH(D36,{"Low","Medium","High"},0)*MATCH(E36,{"Low","Medium","High"},0),"Note","Low","Medium","Medium","","High","","","Critical"))</f>
        <v/>
      </c>
      <c r="G36" s="15" t="inlineStr">
        <is>
          <t>As in S.</t>
        </is>
      </c>
      <c r="H36" s="15" t="inlineStr">
        <is>
          <t>Leaks partial information about operational data. Rated at the highest impact among the merged subclasses; membership inference alone reveals little.</t>
        </is>
      </c>
    </row>
    <row r="37" ht="25.5" customHeight="1" s="9">
      <c r="A37" s="14" t="inlineStr">
        <is>
          <t>A9</t>
        </is>
      </c>
      <c r="B37" s="15" t="inlineStr">
        <is>
          <t>Training-data inference (reconstruction, membership, property)</t>
        </is>
      </c>
      <c r="C37" s="14" t="inlineStr">
        <is>
          <t>FL</t>
        </is>
      </c>
      <c r="D37" s="14" t="inlineStr">
        <is>
          <t>Medium</t>
        </is>
      </c>
      <c r="E37" s="14" t="inlineStr">
        <is>
          <t>Medium</t>
        </is>
      </c>
      <c r="F37" s="16">
        <f>IF(D37="n/a","n/a",CHOOSE(MATCH(D37,{"Low","Medium","High"},0)*MATCH(E37,{"Low","Medium","High"},0),"Note","Low","Medium","Medium","","High","","","Critical"))</f>
        <v/>
      </c>
      <c r="G37" s="15" t="inlineStr">
        <is>
          <t>Exchanged updates can be used to reconstruct local training data of other sites.</t>
        </is>
      </c>
      <c r="H37" s="15" t="inlineStr">
        <is>
          <t>Leaks partial information about operational data. Rated at the highest impact among the merged subclasses; membership inference alone reveals little.</t>
        </is>
      </c>
    </row>
    <row r="38" ht="25.5" customHeight="1" s="9">
      <c r="A38" s="11" t="inlineStr">
        <is>
          <t>A10</t>
        </is>
      </c>
      <c r="B38" s="12" t="inlineStr">
        <is>
          <t>Model extraction</t>
        </is>
      </c>
      <c r="C38" s="11" t="inlineStr">
        <is>
          <t>S</t>
        </is>
      </c>
      <c r="D38" s="11" t="inlineStr">
        <is>
          <t>Low</t>
        </is>
      </c>
      <c r="E38" s="11" t="inlineStr">
        <is>
          <t>Medium</t>
        </is>
      </c>
      <c r="F38" s="13">
        <f>IF(D38="n/a","n/a",CHOOSE(MATCH(D38,{"Low","Medium","High"},0)*MATCH(E38,{"Low","Medium","High"},0),"Note","Low","Medium","Medium","","High","","","Critical"))</f>
        <v/>
      </c>
      <c r="G38" s="12" t="inlineStr">
        <is>
          <t>Requires extensive query access to outputs, which are not exposed.</t>
        </is>
      </c>
      <c r="H38" s="12" t="inlineStr">
        <is>
          <t>Provides knowledge that enables other attacks; the extraction itself does not affect detection.</t>
        </is>
      </c>
    </row>
    <row r="39" ht="25.5" customHeight="1" s="9">
      <c r="A39" s="14" t="inlineStr">
        <is>
          <t>A10</t>
        </is>
      </c>
      <c r="B39" s="15" t="inlineStr">
        <is>
          <t>Model extraction</t>
        </is>
      </c>
      <c r="C39" s="14" t="inlineStr">
        <is>
          <t>R</t>
        </is>
      </c>
      <c r="D39" s="14" t="inlineStr">
        <is>
          <t>Low</t>
        </is>
      </c>
      <c r="E39" s="14" t="inlineStr">
        <is>
          <t>Medium</t>
        </is>
      </c>
      <c r="F39" s="16">
        <f>IF(D39="n/a","n/a",CHOOSE(MATCH(D39,{"Low","Medium","High"},0)*MATCH(E39,{"Low","Medium","High"},0),"Note","Low","Medium","Medium","","High","","","Critical"))</f>
        <v/>
      </c>
      <c r="G39" s="15" t="inlineStr">
        <is>
          <t>As in S.</t>
        </is>
      </c>
      <c r="H39" s="15" t="inlineStr">
        <is>
          <t>Provides knowledge that enables other attacks; the extraction itself does not affect detection.</t>
        </is>
      </c>
    </row>
    <row r="40" ht="25.5" customHeight="1" s="9">
      <c r="A40" s="14" t="inlineStr">
        <is>
          <t>A10</t>
        </is>
      </c>
      <c r="B40" s="15" t="inlineStr">
        <is>
          <t>Model extraction</t>
        </is>
      </c>
      <c r="C40" s="14" t="inlineStr">
        <is>
          <t>F</t>
        </is>
      </c>
      <c r="D40" s="14" t="inlineStr">
        <is>
          <t>Low</t>
        </is>
      </c>
      <c r="E40" s="14" t="inlineStr">
        <is>
          <t>Medium</t>
        </is>
      </c>
      <c r="F40" s="16">
        <f>IF(D40="n/a","n/a",CHOOSE(MATCH(D40,{"Low","Medium","High"},0)*MATCH(E40,{"Low","Medium","High"},0),"Note","Low","Medium","Medium","","High","","","Critical"))</f>
        <v/>
      </c>
      <c r="G40" s="15" t="inlineStr">
        <is>
          <t>As in S.</t>
        </is>
      </c>
      <c r="H40" s="15" t="inlineStr">
        <is>
          <t>Provides knowledge that enables other attacks; the extraction itself does not affect detection.</t>
        </is>
      </c>
    </row>
    <row r="41" ht="25.5" customHeight="1" s="9">
      <c r="A41" s="14" t="inlineStr">
        <is>
          <t>A10</t>
        </is>
      </c>
      <c r="B41" s="15" t="inlineStr">
        <is>
          <t>Model extraction</t>
        </is>
      </c>
      <c r="C41" s="14" t="inlineStr">
        <is>
          <t>FL</t>
        </is>
      </c>
      <c r="D41" s="14" t="inlineStr">
        <is>
          <t>Medium</t>
        </is>
      </c>
      <c r="E41" s="14" t="inlineStr">
        <is>
          <t>Medium</t>
        </is>
      </c>
      <c r="F41" s="16">
        <f>IF(D41="n/a","n/a",CHOOSE(MATCH(D41,{"Low","Medium","High"},0)*MATCH(E41,{"Low","Medium","High"},0),"Note","Low","Medium","Medium","","High","","","Critical"))</f>
        <v/>
      </c>
      <c r="G41" s="15" t="inlineStr">
        <is>
          <t>Every participating site receives the global model, so no extraction is needed, but the attacker must first compromise one site (Medium, as for other attacks that require control of a single FL site).</t>
        </is>
      </c>
      <c r="H41" s="15" t="inlineStr">
        <is>
          <t>Provides knowledge that enables other attacks; the extraction itself does not affect detection.</t>
        </is>
      </c>
    </row>
    <row r="42" ht="25.5" customHeight="1" s="9">
      <c r="A42" s="11" t="inlineStr">
        <is>
          <t>A11</t>
        </is>
      </c>
      <c r="B42" s="12" t="inlineStr">
        <is>
          <t>Gradual poisoning</t>
        </is>
      </c>
      <c r="C42" s="11" t="inlineStr">
        <is>
          <t>S</t>
        </is>
      </c>
      <c r="D42" s="11" t="inlineStr">
        <is>
          <t>n/a</t>
        </is>
      </c>
      <c r="E42" s="11" t="inlineStr">
        <is>
          <t>n/a</t>
        </is>
      </c>
      <c r="F42" s="13">
        <f>IF(D42="n/a","n/a",CHOOSE(MATCH(D42,{"Low","Medium","High"},0)*MATCH(E42,{"Low","Medium","High"},0),"Note","Low","Medium","Medium","","High","","","Critical"))</f>
        <v/>
      </c>
      <c r="G42" s="12" t="inlineStr">
        <is>
          <t>Not applicable in this mode.</t>
        </is>
      </c>
      <c r="H42" s="12" t="n"/>
    </row>
    <row r="43" ht="25.5" customHeight="1" s="9">
      <c r="A43" s="14" t="inlineStr">
        <is>
          <t>A11</t>
        </is>
      </c>
      <c r="B43" s="15" t="inlineStr">
        <is>
          <t>Gradual poisoning</t>
        </is>
      </c>
      <c r="C43" s="14" t="inlineStr">
        <is>
          <t>R</t>
        </is>
      </c>
      <c r="D43" s="14" t="inlineStr">
        <is>
          <t>Medium</t>
        </is>
      </c>
      <c r="E43" s="14" t="inlineStr">
        <is>
          <t>High</t>
        </is>
      </c>
      <c r="F43" s="16">
        <f>IF(D43="n/a","n/a",CHOOSE(MATCH(D43,{"Low","Medium","High"},0)*MATCH(E43,{"Low","Medium","High"},0),"Note","Low","Medium","Medium","","High","","","Critical"))</f>
        <v/>
      </c>
      <c r="G43" s="15" t="inlineStr">
        <is>
          <t>Requires sustained testing data control and knowledge of the adaptation policy.</t>
        </is>
      </c>
      <c r="H43" s="15" t="inlineStr">
        <is>
          <t>Persistently shifts what the detector regards as normal, so that the target attack remains undetected across updates.</t>
        </is>
      </c>
    </row>
    <row r="44" ht="25.5" customHeight="1" s="9">
      <c r="A44" s="14" t="inlineStr">
        <is>
          <t>A11</t>
        </is>
      </c>
      <c r="B44" s="15" t="inlineStr">
        <is>
          <t>Gradual poisoning</t>
        </is>
      </c>
      <c r="C44" s="14" t="inlineStr">
        <is>
          <t>F</t>
        </is>
      </c>
      <c r="D44" s="14" t="inlineStr">
        <is>
          <t>Medium</t>
        </is>
      </c>
      <c r="E44" s="14" t="inlineStr">
        <is>
          <t>High</t>
        </is>
      </c>
      <c r="F44" s="16">
        <f>IF(D44="n/a","n/a",CHOOSE(MATCH(D44,{"Low","Medium","High"},0)*MATCH(E44,{"Low","Medium","High"},0),"Note","Low","Medium","Medium","","High","","","Critical"))</f>
        <v/>
      </c>
      <c r="G44" s="15" t="inlineStr">
        <is>
          <t>As in R.</t>
        </is>
      </c>
      <c r="H44" s="15" t="inlineStr">
        <is>
          <t>Persistently shifts what the detector regards as normal, so that the target attack remains undetected across updates.</t>
        </is>
      </c>
    </row>
    <row r="45" ht="25.5" customHeight="1" s="9">
      <c r="A45" s="14" t="inlineStr">
        <is>
          <t>A11</t>
        </is>
      </c>
      <c r="B45" s="15" t="inlineStr">
        <is>
          <t>Gradual poisoning</t>
        </is>
      </c>
      <c r="C45" s="14" t="inlineStr">
        <is>
          <t>FL</t>
        </is>
      </c>
      <c r="D45" s="14" t="inlineStr">
        <is>
          <t>Medium</t>
        </is>
      </c>
      <c r="E45" s="14" t="inlineStr">
        <is>
          <t>High</t>
        </is>
      </c>
      <c r="F45" s="16">
        <f>IF(D45="n/a","n/a",CHOOSE(MATCH(D45,{"Low","Medium","High"},0)*MATCH(E45,{"Low","Medium","High"},0),"Note","Low","Medium","Medium","","High","","","Critical"))</f>
        <v/>
      </c>
      <c r="G45" s="15" t="inlineStr">
        <is>
          <t>As in R, through the local data of one site.</t>
        </is>
      </c>
      <c r="H45" s="15" t="inlineStr">
        <is>
          <t>Persistently shifts what the detector regards as normal, so that the target attack remains undetected across updates.</t>
        </is>
      </c>
    </row>
    <row r="46" ht="15" customHeight="1" s="9">
      <c r="A46" s="11" t="inlineStr">
        <is>
          <t>A12</t>
        </is>
      </c>
      <c r="B46" s="12" t="inlineStr">
        <is>
          <t>Drift masking</t>
        </is>
      </c>
      <c r="C46" s="11" t="inlineStr">
        <is>
          <t>S</t>
        </is>
      </c>
      <c r="D46" s="11" t="inlineStr">
        <is>
          <t>n/a</t>
        </is>
      </c>
      <c r="E46" s="11" t="inlineStr">
        <is>
          <t>n/a</t>
        </is>
      </c>
      <c r="F46" s="13">
        <f>IF(D46="n/a","n/a",CHOOSE(MATCH(D46,{"Low","Medium","High"},0)*MATCH(E46,{"Low","Medium","High"},0),"Note","Low","Medium","Medium","","High","","","Critical"))</f>
        <v/>
      </c>
      <c r="G46" s="12" t="inlineStr">
        <is>
          <t>Not applicable in this mode.</t>
        </is>
      </c>
      <c r="H46" s="12" t="n"/>
    </row>
    <row r="47" ht="15" customHeight="1" s="9">
      <c r="A47" s="14" t="inlineStr">
        <is>
          <t>A12</t>
        </is>
      </c>
      <c r="B47" s="15" t="inlineStr">
        <is>
          <t>Drift masking</t>
        </is>
      </c>
      <c r="C47" s="14" t="inlineStr">
        <is>
          <t>R</t>
        </is>
      </c>
      <c r="D47" s="14" t="inlineStr">
        <is>
          <t>Low</t>
        </is>
      </c>
      <c r="E47" s="14" t="inlineStr">
        <is>
          <t>High</t>
        </is>
      </c>
      <c r="F47" s="16">
        <f>IF(D47="n/a","n/a",CHOOSE(MATCH(D47,{"Low","Medium","High"},0)*MATCH(E47,{"Low","Medium","High"},0),"Note","Low","Medium","Medium","","High","","","Critical"))</f>
        <v/>
      </c>
      <c r="G47" s="15" t="inlineStr">
        <is>
          <t>Retraining is scheduled rather than drift-triggered; the attack depends on legitimate operational changes that the attacker does not control.</t>
        </is>
      </c>
      <c r="H47" s="15" t="inlineStr">
        <is>
          <t>Adaptation to attack data hides the attack and makes it part of normal behavior.</t>
        </is>
      </c>
    </row>
    <row r="48" ht="15" customHeight="1" s="9">
      <c r="A48" s="14" t="inlineStr">
        <is>
          <t>A12</t>
        </is>
      </c>
      <c r="B48" s="15" t="inlineStr">
        <is>
          <t>Drift masking</t>
        </is>
      </c>
      <c r="C48" s="14" t="inlineStr">
        <is>
          <t>F</t>
        </is>
      </c>
      <c r="D48" s="14" t="inlineStr">
        <is>
          <t>Medium</t>
        </is>
      </c>
      <c r="E48" s="14" t="inlineStr">
        <is>
          <t>High</t>
        </is>
      </c>
      <c r="F48" s="16">
        <f>IF(D48="n/a","n/a",CHOOSE(MATCH(D48,{"Low","Medium","High"},0)*MATCH(E48,{"Low","Medium","High"},0),"Note","Low","Medium","Medium","","High","","","Critical"))</f>
        <v/>
      </c>
      <c r="G48" s="15" t="inlineStr">
        <is>
          <t>Operators decide whether changes are legitimate drift; exploiting this requires sustained control and knowledge of the adaptation policy.</t>
        </is>
      </c>
      <c r="H48" s="15" t="inlineStr">
        <is>
          <t>Adaptation to attack data hides the attack and makes it part of normal behavior.</t>
        </is>
      </c>
    </row>
    <row r="49" ht="25.5" customHeight="1" s="9">
      <c r="A49" s="14" t="inlineStr">
        <is>
          <t>A12</t>
        </is>
      </c>
      <c r="B49" s="15" t="inlineStr">
        <is>
          <t>Drift masking</t>
        </is>
      </c>
      <c r="C49" s="14" t="inlineStr">
        <is>
          <t>FL</t>
        </is>
      </c>
      <c r="D49" s="14" t="inlineStr">
        <is>
          <t>Low</t>
        </is>
      </c>
      <c r="E49" s="14" t="inlineStr">
        <is>
          <t>High</t>
        </is>
      </c>
      <c r="F49" s="16">
        <f>IF(D49="n/a","n/a",CHOOSE(MATCH(D49,{"Low","Medium","High"},0)*MATCH(E49,{"Low","Medium","High"},0),"Note","Low","Medium","Medium","","High","","","Critical"))</f>
        <v/>
      </c>
      <c r="G49" s="15" t="inlineStr">
        <is>
          <t>As in R.</t>
        </is>
      </c>
      <c r="H49" s="15" t="inlineStr">
        <is>
          <t>Adaptation to attack data hides the attack and makes it part of normal behavior.</t>
        </is>
      </c>
    </row>
    <row r="50" ht="25.5" customHeight="1" s="9">
      <c r="A50" s="11" t="inlineStr">
        <is>
          <t>A13</t>
        </is>
      </c>
      <c r="B50" s="12" t="inlineStr">
        <is>
          <t>Threshold manipulation</t>
        </is>
      </c>
      <c r="C50" s="11" t="inlineStr">
        <is>
          <t>S</t>
        </is>
      </c>
      <c r="D50" s="11" t="inlineStr">
        <is>
          <t>n/a</t>
        </is>
      </c>
      <c r="E50" s="11" t="inlineStr">
        <is>
          <t>n/a</t>
        </is>
      </c>
      <c r="F50" s="13">
        <f>IF(D50="n/a","n/a",CHOOSE(MATCH(D50,{"Low","Medium","High"},0)*MATCH(E50,{"Low","Medium","High"},0),"Note","Low","Medium","Medium","","High","","","Critical"))</f>
        <v/>
      </c>
      <c r="G50" s="12" t="inlineStr">
        <is>
          <t>Not applicable in this mode.</t>
        </is>
      </c>
      <c r="H50" s="12" t="n"/>
    </row>
    <row r="51" ht="25.5" customHeight="1" s="9">
      <c r="A51" s="14" t="inlineStr">
        <is>
          <t>A13</t>
        </is>
      </c>
      <c r="B51" s="15" t="inlineStr">
        <is>
          <t>Threshold manipulation</t>
        </is>
      </c>
      <c r="C51" s="14" t="inlineStr">
        <is>
          <t>R</t>
        </is>
      </c>
      <c r="D51" s="14" t="inlineStr">
        <is>
          <t>Medium</t>
        </is>
      </c>
      <c r="E51" s="14" t="inlineStr">
        <is>
          <t>High</t>
        </is>
      </c>
      <c r="F51" s="16">
        <f>IF(D51="n/a","n/a",CHOOSE(MATCH(D51,{"Low","Medium","High"},0)*MATCH(E51,{"Low","Medium","High"},0),"Note","Low","Medium","Medium","","High","","","Critical"))</f>
        <v/>
      </c>
      <c r="G51" s="15" t="inlineStr">
        <is>
          <t>The threshold adapts to recent scores; raising it without triggering alerts requires sustained control of runtime inputs and knowledge of the threshold update rule, since scores are not visible to the attacker.</t>
        </is>
      </c>
      <c r="H51" s="15" t="inlineStr">
        <is>
          <t>Can hide an attack by raising the threshold or flood operators with alarms by lowering it.</t>
        </is>
      </c>
    </row>
    <row r="52" ht="25.5" customHeight="1" s="9">
      <c r="A52" s="14" t="inlineStr">
        <is>
          <t>A13</t>
        </is>
      </c>
      <c r="B52" s="15" t="inlineStr">
        <is>
          <t>Threshold manipulation</t>
        </is>
      </c>
      <c r="C52" s="14" t="inlineStr">
        <is>
          <t>F</t>
        </is>
      </c>
      <c r="D52" s="14" t="inlineStr">
        <is>
          <t>Medium</t>
        </is>
      </c>
      <c r="E52" s="14" t="inlineStr">
        <is>
          <t>High</t>
        </is>
      </c>
      <c r="F52" s="16">
        <f>IF(D52="n/a","n/a",CHOOSE(MATCH(D52,{"Low","Medium","High"},0)*MATCH(E52,{"Low","Medium","High"},0),"Note","Low","Medium","Medium","","High","","","Critical"))</f>
        <v/>
      </c>
      <c r="G52" s="15" t="inlineStr">
        <is>
          <t>Operator review of alerts and threshold changes requires the manipulation to be slower and more careful.</t>
        </is>
      </c>
      <c r="H52" s="15" t="inlineStr">
        <is>
          <t>Can hide an attack by raising the threshold or flood operators with alarms by lowering it.</t>
        </is>
      </c>
    </row>
    <row r="53" ht="25.5" customHeight="1" s="9">
      <c r="A53" s="14" t="inlineStr">
        <is>
          <t>A13</t>
        </is>
      </c>
      <c r="B53" s="15" t="inlineStr">
        <is>
          <t>Threshold manipulation</t>
        </is>
      </c>
      <c r="C53" s="14" t="inlineStr">
        <is>
          <t>FL</t>
        </is>
      </c>
      <c r="D53" s="14" t="inlineStr">
        <is>
          <t>Medium</t>
        </is>
      </c>
      <c r="E53" s="14" t="inlineStr">
        <is>
          <t>High</t>
        </is>
      </c>
      <c r="F53" s="16">
        <f>IF(D53="n/a","n/a",CHOOSE(MATCH(D53,{"Low","Medium","High"},0)*MATCH(E53,{"Low","Medium","High"},0),"Note","Low","Medium","Medium","","High","","","Critical"))</f>
        <v/>
      </c>
      <c r="G53" s="15" t="inlineStr">
        <is>
          <t>As in R; thresholds adapt locally at each site.</t>
        </is>
      </c>
      <c r="H53" s="15" t="inlineStr">
        <is>
          <t>Can hide an attack by raising the threshold or flood operators with alarms by lowering it.</t>
        </is>
      </c>
    </row>
    <row r="54" ht="15" customHeight="1" s="9">
      <c r="A54" s="11" t="inlineStr">
        <is>
          <t>A14</t>
        </is>
      </c>
      <c r="B54" s="12" t="inlineStr">
        <is>
          <t>Feedback poisoning</t>
        </is>
      </c>
      <c r="C54" s="11" t="inlineStr">
        <is>
          <t>S</t>
        </is>
      </c>
      <c r="D54" s="11" t="inlineStr">
        <is>
          <t>n/a</t>
        </is>
      </c>
      <c r="E54" s="11" t="inlineStr">
        <is>
          <t>n/a</t>
        </is>
      </c>
      <c r="F54" s="13">
        <f>IF(D54="n/a","n/a",CHOOSE(MATCH(D54,{"Low","Medium","High"},0)*MATCH(E54,{"Low","Medium","High"},0),"Note","Low","Medium","Medium","","High","","","Critical"))</f>
        <v/>
      </c>
      <c r="G54" s="12" t="inlineStr">
        <is>
          <t>Not applicable in this mode.</t>
        </is>
      </c>
      <c r="H54" s="12" t="n"/>
    </row>
    <row r="55" ht="15" customHeight="1" s="9">
      <c r="A55" s="14" t="inlineStr">
        <is>
          <t>A14</t>
        </is>
      </c>
      <c r="B55" s="15" t="inlineStr">
        <is>
          <t>Feedback poisoning</t>
        </is>
      </c>
      <c r="C55" s="14" t="inlineStr">
        <is>
          <t>R</t>
        </is>
      </c>
      <c r="D55" s="14" t="inlineStr">
        <is>
          <t>n/a</t>
        </is>
      </c>
      <c r="E55" s="14" t="inlineStr">
        <is>
          <t>n/a</t>
        </is>
      </c>
      <c r="F55" s="16">
        <f>IF(D55="n/a","n/a",CHOOSE(MATCH(D55,{"Low","Medium","High"},0)*MATCH(E55,{"Low","Medium","High"},0),"Note","Low","Medium","Medium","","High","","","Critical"))</f>
        <v/>
      </c>
      <c r="G55" s="15" t="inlineStr">
        <is>
          <t>Not applicable in this mode.</t>
        </is>
      </c>
      <c r="H55" s="15" t="n"/>
    </row>
    <row r="56" ht="15" customHeight="1" s="9">
      <c r="A56" s="14" t="inlineStr">
        <is>
          <t>A14</t>
        </is>
      </c>
      <c r="B56" s="15" t="inlineStr">
        <is>
          <t>Feedback poisoning</t>
        </is>
      </c>
      <c r="C56" s="14" t="inlineStr">
        <is>
          <t>F</t>
        </is>
      </c>
      <c r="D56" s="14" t="inlineStr">
        <is>
          <t>Medium</t>
        </is>
      </c>
      <c r="E56" s="14" t="inlineStr">
        <is>
          <t>High</t>
        </is>
      </c>
      <c r="F56" s="16">
        <f>IF(D56="n/a","n/a",CHOOSE(MATCH(D56,{"Low","Medium","High"},0)*MATCH(E56,{"Low","Medium","High"},0),"Note","Low","Medium","Medium","","High","","","Critical"))</f>
        <v/>
      </c>
      <c r="G56" s="15" t="inlineStr">
        <is>
          <t>Direct feedback control requires an insider (Low), but the indirect variant only requires generating false alarms through sustained testing data control.</t>
        </is>
      </c>
      <c r="H56" s="15" t="inlineStr">
        <is>
          <t>Attack behavior labeled as benign is learned as normal.</t>
        </is>
      </c>
    </row>
    <row r="57" ht="25.5" customHeight="1" s="9">
      <c r="A57" s="14" t="inlineStr">
        <is>
          <t>A14</t>
        </is>
      </c>
      <c r="B57" s="15" t="inlineStr">
        <is>
          <t>Feedback poisoning</t>
        </is>
      </c>
      <c r="C57" s="14" t="inlineStr">
        <is>
          <t>FL</t>
        </is>
      </c>
      <c r="D57" s="14" t="inlineStr">
        <is>
          <t>n/a</t>
        </is>
      </c>
      <c r="E57" s="14" t="inlineStr">
        <is>
          <t>n/a</t>
        </is>
      </c>
      <c r="F57" s="16">
        <f>IF(D57="n/a","n/a",CHOOSE(MATCH(D57,{"Low","Medium","High"},0)*MATCH(E57,{"Low","Medium","High"},0),"Note","Low","Medium","Medium","","High","","","Critical"))</f>
        <v/>
      </c>
      <c r="G57" s="15" t="inlineStr">
        <is>
          <t>Not applicable in this mode.</t>
        </is>
      </c>
      <c r="H57" s="15" t="n"/>
    </row>
    <row r="58" ht="25.5" customHeight="1" s="9">
      <c r="A58" s="11" t="inlineStr">
        <is>
          <t>A15</t>
        </is>
      </c>
      <c r="B58" s="12" t="inlineStr">
        <is>
          <t>Adaptation trigger manipulation</t>
        </is>
      </c>
      <c r="C58" s="11" t="inlineStr">
        <is>
          <t>S</t>
        </is>
      </c>
      <c r="D58" s="11" t="inlineStr">
        <is>
          <t>n/a</t>
        </is>
      </c>
      <c r="E58" s="11" t="inlineStr">
        <is>
          <t>n/a</t>
        </is>
      </c>
      <c r="F58" s="13">
        <f>IF(D58="n/a","n/a",CHOOSE(MATCH(D58,{"Low","Medium","High"},0)*MATCH(E58,{"Low","Medium","High"},0),"Note","Low","Medium","Medium","","High","","","Critical"))</f>
        <v/>
      </c>
      <c r="G58" s="12" t="inlineStr">
        <is>
          <t>Not applicable in this mode.</t>
        </is>
      </c>
      <c r="H58" s="12" t="n"/>
    </row>
    <row r="59" ht="25.5" customHeight="1" s="9">
      <c r="A59" s="14" t="inlineStr">
        <is>
          <t>A15</t>
        </is>
      </c>
      <c r="B59" s="15" t="inlineStr">
        <is>
          <t>Adaptation trigger manipulation</t>
        </is>
      </c>
      <c r="C59" s="14" t="inlineStr">
        <is>
          <t>R</t>
        </is>
      </c>
      <c r="D59" s="14" t="inlineStr">
        <is>
          <t>n/a</t>
        </is>
      </c>
      <c r="E59" s="14" t="inlineStr">
        <is>
          <t>n/a</t>
        </is>
      </c>
      <c r="F59" s="16">
        <f>IF(D59="n/a","n/a",CHOOSE(MATCH(D59,{"Low","Medium","High"},0)*MATCH(E59,{"Low","Medium","High"},0),"Note","Low","Medium","Medium","","High","","","Critical"))</f>
        <v/>
      </c>
      <c r="G59" s="15" t="inlineStr">
        <is>
          <t>Not applicable in this mode: updates follow a fixed schedule that the attacker cannot trigger or suppress.</t>
        </is>
      </c>
      <c r="H59" s="15" t="n"/>
    </row>
    <row r="60" ht="25.5" customHeight="1" s="9">
      <c r="A60" s="14" t="inlineStr">
        <is>
          <t>A15</t>
        </is>
      </c>
      <c r="B60" s="15" t="inlineStr">
        <is>
          <t>Adaptation trigger manipulation</t>
        </is>
      </c>
      <c r="C60" s="14" t="inlineStr">
        <is>
          <t>F</t>
        </is>
      </c>
      <c r="D60" s="14" t="inlineStr">
        <is>
          <t>Medium</t>
        </is>
      </c>
      <c r="E60" s="14" t="inlineStr">
        <is>
          <t>Medium</t>
        </is>
      </c>
      <c r="F60" s="16">
        <f>IF(D60="n/a","n/a",CHOOSE(MATCH(D60,{"Low","Medium","High"},0)*MATCH(E60,{"Low","Medium","High"},0),"Note","Low","Medium","Medium","","High","","","Critical"))</f>
        <v/>
      </c>
      <c r="G60" s="15" t="inlineStr">
        <is>
          <t>False alarms induced through sustained testing data control initiate feedback-driven updates.</t>
        </is>
      </c>
      <c r="H60" s="15" t="inlineStr">
        <is>
          <t>Causes temporary degradation, resource consumption, or an outdated model.</t>
        </is>
      </c>
    </row>
    <row r="61" ht="25.5" customHeight="1" s="9">
      <c r="A61" s="14" t="inlineStr">
        <is>
          <t>A15</t>
        </is>
      </c>
      <c r="B61" s="15" t="inlineStr">
        <is>
          <t>Adaptation trigger manipulation</t>
        </is>
      </c>
      <c r="C61" s="14" t="inlineStr">
        <is>
          <t>FL</t>
        </is>
      </c>
      <c r="D61" s="14" t="inlineStr">
        <is>
          <t>n/a</t>
        </is>
      </c>
      <c r="E61" s="14" t="inlineStr">
        <is>
          <t>n/a</t>
        </is>
      </c>
      <c r="F61" s="16">
        <f>IF(D61="n/a","n/a",CHOOSE(MATCH(D61,{"Low","Medium","High"},0)*MATCH(E61,{"Low","Medium","High"},0),"Note","Low","Medium","Medium","","High","","","Critical"))</f>
        <v/>
      </c>
      <c r="G61" s="15" t="inlineStr">
        <is>
          <t>Not applicable in this mode: aggregation rounds follow a fixed schedule that the attacker cannot trigger or suppress.</t>
        </is>
      </c>
      <c r="H61" s="15" t="n"/>
    </row>
    <row r="62" ht="15" customHeight="1" s="9">
      <c r="A62" s="11" t="inlineStr">
        <is>
          <t>A16</t>
        </is>
      </c>
      <c r="B62" s="12" t="inlineStr">
        <is>
          <t>Update timing exploitation</t>
        </is>
      </c>
      <c r="C62" s="11" t="inlineStr">
        <is>
          <t>S</t>
        </is>
      </c>
      <c r="D62" s="11" t="inlineStr">
        <is>
          <t>n/a</t>
        </is>
      </c>
      <c r="E62" s="11" t="inlineStr">
        <is>
          <t>n/a</t>
        </is>
      </c>
      <c r="F62" s="13">
        <f>IF(D62="n/a","n/a",CHOOSE(MATCH(D62,{"Low","Medium","High"},0)*MATCH(E62,{"Low","Medium","High"},0),"Note","Low","Medium","Medium","","High","","","Critical"))</f>
        <v/>
      </c>
      <c r="G62" s="12" t="inlineStr">
        <is>
          <t>Not applicable in this mode.</t>
        </is>
      </c>
      <c r="H62" s="12" t="n"/>
    </row>
    <row r="63" ht="25.5" customHeight="1" s="9">
      <c r="A63" s="14" t="inlineStr">
        <is>
          <t>A16</t>
        </is>
      </c>
      <c r="B63" s="15" t="inlineStr">
        <is>
          <t>Update timing exploitation</t>
        </is>
      </c>
      <c r="C63" s="14" t="inlineStr">
        <is>
          <t>R</t>
        </is>
      </c>
      <c r="D63" s="14" t="inlineStr">
        <is>
          <t>Medium</t>
        </is>
      </c>
      <c r="E63" s="14" t="inlineStr">
        <is>
          <t>Medium</t>
        </is>
      </c>
      <c r="F63" s="16">
        <f>IF(D63="n/a","n/a",CHOOSE(MATCH(D63,{"Low","Medium","High"},0)*MATCH(E63,{"Low","Medium","High"},0),"Note","Low","Medium","Medium","","High","","","Critical"))</f>
        <v/>
      </c>
      <c r="G63" s="15" t="inlineStr">
        <is>
          <t>Requires knowledge of the adaptation schedule and testing data control.</t>
        </is>
      </c>
      <c r="H63" s="15" t="inlineStr">
        <is>
          <t>Exploits a limited window of reduced detection around updates.</t>
        </is>
      </c>
    </row>
    <row r="64" ht="25.5" customHeight="1" s="9">
      <c r="A64" s="14" t="inlineStr">
        <is>
          <t>A16</t>
        </is>
      </c>
      <c r="B64" s="15" t="inlineStr">
        <is>
          <t>Update timing exploitation</t>
        </is>
      </c>
      <c r="C64" s="14" t="inlineStr">
        <is>
          <t>F</t>
        </is>
      </c>
      <c r="D64" s="14" t="inlineStr">
        <is>
          <t>Medium</t>
        </is>
      </c>
      <c r="E64" s="14" t="inlineStr">
        <is>
          <t>Medium</t>
        </is>
      </c>
      <c r="F64" s="16">
        <f>IF(D64="n/a","n/a",CHOOSE(MATCH(D64,{"Low","Medium","High"},0)*MATCH(E64,{"Low","Medium","High"},0),"Note","Low","Medium","Medium","","High","","","Critical"))</f>
        <v/>
      </c>
      <c r="G64" s="15" t="inlineStr">
        <is>
          <t>Requires knowledge of the adaptation schedule and testing data control.</t>
        </is>
      </c>
      <c r="H64" s="15" t="inlineStr">
        <is>
          <t>Exploits a limited window of reduced detection around updates.</t>
        </is>
      </c>
    </row>
    <row r="65" ht="25.5" customHeight="1" s="9">
      <c r="A65" s="14" t="inlineStr">
        <is>
          <t>A16</t>
        </is>
      </c>
      <c r="B65" s="15" t="inlineStr">
        <is>
          <t>Update timing exploitation</t>
        </is>
      </c>
      <c r="C65" s="14" t="inlineStr">
        <is>
          <t>FL</t>
        </is>
      </c>
      <c r="D65" s="14" t="inlineStr">
        <is>
          <t>Medium</t>
        </is>
      </c>
      <c r="E65" s="14" t="inlineStr">
        <is>
          <t>Medium</t>
        </is>
      </c>
      <c r="F65" s="16">
        <f>IF(D65="n/a","n/a",CHOOSE(MATCH(D65,{"Low","Medium","High"},0)*MATCH(E65,{"Low","Medium","High"},0),"Note","Low","Medium","Medium","","High","","","Critical"))</f>
        <v/>
      </c>
      <c r="G65" s="15" t="inlineStr">
        <is>
          <t>Requires knowledge of the adaptation schedule and testing data control.</t>
        </is>
      </c>
      <c r="H65" s="15" t="inlineStr">
        <is>
          <t>Exploits a limited window of reduced detection around updates.</t>
        </is>
      </c>
    </row>
    <row r="66" ht="15" customHeight="1" s="9"/>
    <row r="67" ht="25.5" customHeight="1" s="9"/>
    <row r="68" ht="25.5" customHeight="1" s="9"/>
    <row r="69" ht="25.5" customHeight="1" s="9"/>
    <row r="70" ht="15" customHeight="1" s="9"/>
    <row r="71" ht="25.5" customHeight="1" s="9"/>
    <row r="72" ht="25.5" customHeight="1" s="9"/>
    <row r="73" ht="25.5" customHeight="1" s="9"/>
    <row r="74" ht="15" customHeight="1" s="9"/>
    <row r="75" ht="15" customHeight="1" s="9"/>
    <row r="76" ht="38.25" customHeight="1" s="9"/>
    <row r="77" ht="15" customHeight="1" s="9"/>
    <row r="78" ht="15" customHeight="1" s="9"/>
    <row r="79" ht="25.5" customHeight="1" s="9"/>
    <row r="80" ht="25.5" customHeight="1" s="9"/>
    <row r="81" ht="25.5" customHeight="1" s="9"/>
    <row r="82" ht="15" customHeight="1" s="9"/>
    <row r="83" ht="25.5" customHeight="1" s="9"/>
    <row r="84" ht="25.5" customHeight="1" s="9"/>
    <row r="85" ht="25.5" customHeight="1" s="9"/>
  </sheetData>
  <autoFilter ref="A1:H65"/>
  <conditionalFormatting sqref="F2:F65">
    <cfRule type="expression" rank="0" priority="2" equalAverage="0" aboveAverage="0" dxfId="8" text="" percent="0" bottom="0">
      <formula>$F2="Note"</formula>
    </cfRule>
    <cfRule type="expression" rank="0" priority="3" equalAverage="0" aboveAverage="0" dxfId="9" text="" percent="0" bottom="0">
      <formula>$F2="Low"</formula>
    </cfRule>
    <cfRule type="expression" rank="0" priority="4" equalAverage="0" aboveAverage="0" dxfId="10" text="" percent="0" bottom="0">
      <formula>$F2="Medium"</formula>
    </cfRule>
    <cfRule type="expression" rank="0" priority="5" equalAverage="0" aboveAverage="0" dxfId="11" text="" percent="0" bottom="0">
      <formula>$F2="High"</formula>
    </cfRule>
    <cfRule type="expression" rank="0" priority="6" equalAverage="0" aboveAverage="0" dxfId="12" text="" percent="0" bottom="0">
      <formula>$F2="Critical"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2026-09-27T18:53:34Z</dcterms:created>
  <dcterms:modified xmlns:dcterms="http://purl.org/dc/terms/" xmlns:xsi="http://www.w3.org/2001/XMLSchema-instance" xsi:type="dcterms:W3CDTF">2026-09-29T11:35:10Z</dcterms:modified>
  <cp:lastModifiedBy>Athanasia Kollarou</cp:lastModifiedBy>
  <cp:revision>0</cp:revision>
</cp:coreProperties>
</file>